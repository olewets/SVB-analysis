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xtraction" sheetId="2" r:id="rId5"/>
    <sheet state="visible" name="Interest Rate Risk" sheetId="3" r:id="rId6"/>
    <sheet state="visible" name="Liquidity Risk" sheetId="4" r:id="rId7"/>
    <sheet state="visible" name="Credit Risk" sheetId="5" r:id="rId8"/>
    <sheet state="visible" name="Capital Adequacy" sheetId="6" r:id="rId9"/>
    <sheet state="visible" name="Stress Scenario" sheetId="7" r:id="rId10"/>
    <sheet state="visible" name="Peer Comparison" sheetId="8" r:id="rId11"/>
  </sheets>
  <definedNames/>
  <calcPr/>
  <extLst>
    <ext uri="GoogleSheetsCustomDataVersion2">
      <go:sheetsCustomData xmlns:go="http://customooxmlschemas.google.com/" r:id="rId12" roundtripDataChecksum="H8159pl1k6Eyn8/JAZjMhmzkkgrc24GvhSLppbNEB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======
ID#AAAB5C4-L5s
T.J. Weight    (2026-04-28 16:08:04)
This shit doesn't make sense to me shouldn't the total intangibles include everything below?
------
ID#AAAB8vt0JzE
O. Kravets    (2026-05-13 11:17:10)
bro i think all the things below aren't intangibles</t>
      </text>
    </comment>
  </commentList>
  <extLst>
    <ext uri="GoogleSheetsCustomDataVersion2">
      <go:sheetsCustomData xmlns:go="http://customooxmlschemas.google.com/" r:id="rId1" roundtripDataSignature="AMtx7mgjc2E9PLV21CpVdEv1yoySZV2Wv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======
ID#AAAB51xuQIw
T.J. Weight    (2026-05-06 10:12:22)
Not exactly sure what Cumulative gap from Q1 means I think its cell G9
------
ID#AAAB51xGOrQ
O. Kravets    (2026-05-07 08:42:56)
It is, Q1 is Question 1, not Quarter 1</t>
      </text>
    </comment>
  </commentList>
  <extLst>
    <ext uri="GoogleSheetsCustomDataVersion2">
      <go:sheetsCustomData xmlns:go="http://customooxmlschemas.google.com/" r:id="rId1" roundtripDataSignature="AMtx7mhB6SVE0d4JtPLtYMYnv372YZHPuQ=="/>
    </ext>
  </extLst>
</comments>
</file>

<file path=xl/sharedStrings.xml><?xml version="1.0" encoding="utf-8"?>
<sst xmlns="http://schemas.openxmlformats.org/spreadsheetml/2006/main" count="562" uniqueCount="400">
  <si>
    <t>ECONOMICS OF BANKING - GROUP ASSIGNMENT</t>
  </si>
  <si>
    <t>Silicon Valley Bank: A Risk Analysis Case Study</t>
  </si>
  <si>
    <t>University of Groningen - Academic Year 2025/2026</t>
  </si>
  <si>
    <t>Color Legend:</t>
  </si>
  <si>
    <t xml:space="preserve">  YELLOW cells = Data you extract from the UBPR report (input cells)</t>
  </si>
  <si>
    <t xml:space="preserve">  GREEN cells = Cells where you enter a formula or calculated value</t>
  </si>
  <si>
    <t xml:space="preserve">  GRAY cells = Given parameters. Do not overwrite!</t>
  </si>
  <si>
    <t>All dollar amounts are in thousands ($000s) as in the UBPR.</t>
  </si>
  <si>
    <t>For each extracted data point, record the UBPR page number in the Data Extraction sheet</t>
  </si>
  <si>
    <t>Sheets:</t>
  </si>
  <si>
    <t xml:space="preserve">  1. Instructions</t>
  </si>
  <si>
    <t xml:space="preserve">  2. Data Extraction: Key items from the UBPR</t>
  </si>
  <si>
    <t xml:space="preserve">  3. Interest Rate Risk: Repricing gap, NII sensitivity, unrealized losses, duration gap</t>
  </si>
  <si>
    <t xml:space="preserve">  4. Liquidity Risk: Deposit structure, liquidity ratios</t>
  </si>
  <si>
    <t xml:space="preserve">  5. Credit Risk: Portfolio composition, quality metrics, Texas Ratio, RAROC</t>
  </si>
  <si>
    <t xml:space="preserve">  6. Capital Adequacy: Regulatory ratios, RWA composition</t>
  </si>
  <si>
    <t xml:space="preserve">  7. Stress Scenario: Apply your assigned scenario across all risk dimensions</t>
  </si>
  <si>
    <t xml:space="preserve">  8. Peer Comparison: Compare SVB to your assigned comparison bank</t>
  </si>
  <si>
    <t>TEAM INFORMATION:</t>
  </si>
  <si>
    <t>Team Number:</t>
  </si>
  <si>
    <t>Team Members:</t>
  </si>
  <si>
    <t>Oleksandr Kravets, Tanner Weight, Aleksander Bartkiewicz, Sven van den Boomen, Youssef Abulkassem</t>
  </si>
  <si>
    <t>Stress Scenario (A-H):</t>
  </si>
  <si>
    <t>F</t>
  </si>
  <si>
    <t>Comparison Bank:</t>
  </si>
  <si>
    <t>The Bank of New York Mellon</t>
  </si>
  <si>
    <t>PART 1: DATA EXTRACTION FROM SVB UBPR (12/31/2022)</t>
  </si>
  <si>
    <t xml:space="preserve">A. Balance Sheet Items </t>
  </si>
  <si>
    <t>Item</t>
  </si>
  <si>
    <t>SVB ($000s)</t>
  </si>
  <si>
    <t>Prior Year ($000s)</t>
  </si>
  <si>
    <t>UBPR Page</t>
  </si>
  <si>
    <t xml:space="preserve">Assets: </t>
  </si>
  <si>
    <t>Net Loans &amp; Leases:</t>
  </si>
  <si>
    <t>Pg 4</t>
  </si>
  <si>
    <t>Fill the rest for each YELLOW cell</t>
  </si>
  <si>
    <t>Commercial Loans</t>
  </si>
  <si>
    <t>ACL on LN&amp;LS HFI</t>
  </si>
  <si>
    <t>Net Securities:</t>
  </si>
  <si>
    <t>U.S. Treasury &amp; Agency Securities</t>
  </si>
  <si>
    <t>Interest-Bearing Bank Balances</t>
  </si>
  <si>
    <t>Total Earning Assets</t>
  </si>
  <si>
    <t>Other Real Estate Owned</t>
  </si>
  <si>
    <t>Total Assets</t>
  </si>
  <si>
    <t>Liabilities:</t>
  </si>
  <si>
    <t>Total Deposits:</t>
  </si>
  <si>
    <t>Demand Deposits</t>
  </si>
  <si>
    <t>All Now &amp; ATS Accounts</t>
  </si>
  <si>
    <t>Money Market Deposit Accounts</t>
  </si>
  <si>
    <t>Other Savings Deposits</t>
  </si>
  <si>
    <t>Time Deps at or Below Insurance Limit</t>
  </si>
  <si>
    <t>Time Deps Above Insurance Limit</t>
  </si>
  <si>
    <t>Deposits in Foreign Offices</t>
  </si>
  <si>
    <t xml:space="preserve">Total Liabilities </t>
  </si>
  <si>
    <t>Total Bank Capital &amp; Min Int</t>
  </si>
  <si>
    <t>Total Liabilities &amp; Capital</t>
  </si>
  <si>
    <t>Memoranda:</t>
  </si>
  <si>
    <t>Total Intangibles (Memo)</t>
  </si>
  <si>
    <t>Pg 11</t>
  </si>
  <si>
    <t>Available-for-Sale Securities (Memo)</t>
  </si>
  <si>
    <t>Held-to-Maturity Securities (Memo)+</t>
  </si>
  <si>
    <t>Non-Interest Bearing Deposits (Memo)</t>
  </si>
  <si>
    <t>Estimate of Uninsured Deposits (Memo)</t>
  </si>
  <si>
    <t xml:space="preserve">B. Income Statement &amp; Yield Items </t>
  </si>
  <si>
    <t>SVB</t>
  </si>
  <si>
    <t>Prior Year</t>
  </si>
  <si>
    <t>Net Interest Income (TE) ($000s)</t>
  </si>
  <si>
    <t>Pg 2</t>
  </si>
  <si>
    <t>Net Income ($000s)</t>
  </si>
  <si>
    <t>Margin analysis:</t>
  </si>
  <si>
    <t>Int Inc (TE) to Avg Earn Assets (%)</t>
  </si>
  <si>
    <t>Pg 1</t>
  </si>
  <si>
    <t>Int Expense to Avg Earn Assets (%)</t>
  </si>
  <si>
    <t>Net Int Inc (TE) to Avg Earn Assets (%)</t>
  </si>
  <si>
    <t>Yield on or cost of:</t>
  </si>
  <si>
    <t>Yield: Commercial &amp; Industrial Loans (%)</t>
  </si>
  <si>
    <t>Pg 3A</t>
  </si>
  <si>
    <t>Yield: Total Investment Securities TE (%)</t>
  </si>
  <si>
    <t>Yield: US Treas &amp; Agency excl MBS (%)</t>
  </si>
  <si>
    <t>Cost: All Interest-Bearing Funds (%)</t>
  </si>
  <si>
    <t xml:space="preserve">C. Interest Rate Risk Data </t>
  </si>
  <si>
    <t>Item (% of Total Assets)</t>
  </si>
  <si>
    <t>SVB (%)</t>
  </si>
  <si>
    <t>Peer Group 1 (%)</t>
  </si>
  <si>
    <t>SVB PCT</t>
  </si>
  <si>
    <t>Prior Year (%)</t>
  </si>
  <si>
    <t>Short-Term Assets to Total Assets (Up to 1 Yr)</t>
  </si>
  <si>
    <t>Pg 9</t>
  </si>
  <si>
    <t>Med-Term Assets to Total Assets (&gt;1-5 Yrs)</t>
  </si>
  <si>
    <t>Long-Term Assets to Total Assets (&gt; 5 Yrs)</t>
  </si>
  <si>
    <t>Short-Term Liabilities to Total Assets (Up to 1 Yr)</t>
  </si>
  <si>
    <t>Med-Term Liabilities to Total Assets (&gt;1-5 Yrs)</t>
  </si>
  <si>
    <t>Long-Term Liabilities to Total Assets (&gt; 5 Yrs)</t>
  </si>
  <si>
    <t xml:space="preserve">D. Unrealized Gains/Losses </t>
  </si>
  <si>
    <t>Item (% of Tier 1 Cap)</t>
  </si>
  <si>
    <t>AFS Sec Unrl App (Dep) to Tier 1 Cap (%)</t>
  </si>
  <si>
    <t>Pg 9A</t>
  </si>
  <si>
    <t>HTM Sec Unrl App (Dep) to Tier 1 Cap (%)</t>
  </si>
  <si>
    <t>AFS/HTM Unrl App (Dep) to Tier 1 Cap (%)</t>
  </si>
  <si>
    <t xml:space="preserve">E. Liquidity Risk Data </t>
  </si>
  <si>
    <t xml:space="preserve">Net Non Core Fund Dep New $250M (%) </t>
  </si>
  <si>
    <t xml:space="preserve">Net Loans &amp; Leases to Deposits (%)  </t>
  </si>
  <si>
    <t xml:space="preserve">Liquid Assets FV to Total Assets (%) </t>
  </si>
  <si>
    <t>Pg 10</t>
  </si>
  <si>
    <t>Cash &amp; Due From Banks (%)</t>
  </si>
  <si>
    <t>Interest-Bearing Bank Balances (%)</t>
  </si>
  <si>
    <t>AFS Sec Fair Value (%)</t>
  </si>
  <si>
    <t>HTM Sec Fair Value (%)</t>
  </si>
  <si>
    <t>Fed Funds Sold &amp; Resales (%)</t>
  </si>
  <si>
    <t xml:space="preserve">Non-retirement Dep &gt; $250M to Total Assets (%) </t>
  </si>
  <si>
    <t xml:space="preserve">Wholesale Funding to Total Assets (%) </t>
  </si>
  <si>
    <t xml:space="preserve">F. Loan Mix &amp; Credit Risk Data </t>
  </si>
  <si>
    <t>Peer Group 1</t>
  </si>
  <si>
    <t>Loan Mix:</t>
  </si>
  <si>
    <t>Real Estate Loans to Average Gross LN&amp;LS (%)</t>
  </si>
  <si>
    <t>Pg 7A</t>
  </si>
  <si>
    <t>Commercial &amp; Industrial Loans to Average Gross LN&amp;LS (%)</t>
  </si>
  <si>
    <t>Loans to Individuals to Average Gross LN&amp;LS (%)</t>
  </si>
  <si>
    <t>Non-Depository and Other to Average Gross LN&amp;LS (%)</t>
  </si>
  <si>
    <t>Foreign Office Loans &amp; Leases to Average Gross LN&amp;LS (%)</t>
  </si>
  <si>
    <t>Credit risk:</t>
  </si>
  <si>
    <t>Net Loss to Avg Total LN&amp;LS (%)</t>
  </si>
  <si>
    <t>ACL on LN&amp;LS HFI to LN&amp;LS HFI (%)</t>
  </si>
  <si>
    <t>ACL on LN&amp;LS HFI to Nonaccrual LN&amp;LS (X)</t>
  </si>
  <si>
    <t>Earnings Coverage of Net Losses (X)</t>
  </si>
  <si>
    <t>Non-Curr Lns+OREO to Lns+OREO (%)</t>
  </si>
  <si>
    <t>30-89 Days Past Due (%)</t>
  </si>
  <si>
    <t>Total LN&amp;LS 90+ Days PD &amp; Nonaccrual (%)</t>
  </si>
  <si>
    <t>Total Non-Current LN&amp;LS ($000s)</t>
  </si>
  <si>
    <t>Pg 8</t>
  </si>
  <si>
    <t xml:space="preserve">G. Capital Adequacy Data </t>
  </si>
  <si>
    <t>Leverage Ratio (%)</t>
  </si>
  <si>
    <t>Com Equity Tier 1 Cap Ratio (%)</t>
  </si>
  <si>
    <t>Tier 1 Capital Ratio (%)</t>
  </si>
  <si>
    <t>Total Capital Ratio (%)</t>
  </si>
  <si>
    <t>Bank Eq Cap + Min Int to Assets (%)</t>
  </si>
  <si>
    <t>Tier 1 Capital ($000s)</t>
  </si>
  <si>
    <t>Pg 11A</t>
  </si>
  <si>
    <t>20% Category (On-BS) ($000s)</t>
  </si>
  <si>
    <t>Pg 11B</t>
  </si>
  <si>
    <t>50% Category (On-BS) ($000s)</t>
  </si>
  <si>
    <t>100% Category (On-BS) ($000s)</t>
  </si>
  <si>
    <t>150% Category (On-BS) ($000s)</t>
  </si>
  <si>
    <t xml:space="preserve">Other On-BS Categories ($000s) </t>
  </si>
  <si>
    <t>On-Balance Sheet RWA Subtotal ($000s)</t>
  </si>
  <si>
    <t>Derivatives, Off-BS and Other Risk Weight ($000s)</t>
  </si>
  <si>
    <t>Total Risk-Weighted Assets ($000s)</t>
  </si>
  <si>
    <t>PART 2A: INTEREST RATE RISK ANALYSIS</t>
  </si>
  <si>
    <t>Q1. REPRICING GAP MODEL</t>
  </si>
  <si>
    <t>Use the maturity/repricing bucket data you have extracted in the Data Extraction sheet. Convert each share into dollars. Compute the Gap for each bucket and the Cumulative Gap across buckets.</t>
  </si>
  <si>
    <t>Total Assets ($000s) [from Data Extraction]:</t>
  </si>
  <si>
    <t>Maturity Bucket</t>
  </si>
  <si>
    <t>RSA (% of Assets)</t>
  </si>
  <si>
    <t>RSA ($000s)</t>
  </si>
  <si>
    <t>RSL (% of Assets)</t>
  </si>
  <si>
    <t>RSL ($000s)</t>
  </si>
  <si>
    <t>GAP ($000s)</t>
  </si>
  <si>
    <t>Cum. GAP ($000s)</t>
  </si>
  <si>
    <t>Up to 1 Year</t>
  </si>
  <si>
    <t>&gt; 1 Year to 5 Years</t>
  </si>
  <si>
    <t>&gt; 5 Years</t>
  </si>
  <si>
    <t>TOTAL</t>
  </si>
  <si>
    <t>Q2. NET INTEREST INCOME (NII) SENSITIVITY</t>
  </si>
  <si>
    <t>Using the 1-year Cumulative Gap from Q1, calculate the change in SVB's Net Interest Income under the following scenarios:</t>
  </si>
  <si>
    <t>a) Equal rate changes: +100 bps, +200 bps</t>
  </si>
  <si>
    <t>Scenario</t>
  </si>
  <si>
    <t>Cum. 1-Yr GAP ($000s)</t>
  </si>
  <si>
    <t>ΔR (decimal)</t>
  </si>
  <si>
    <t>ΔNII ($000s)</t>
  </si>
  <si>
    <t>Equal: +100 bps</t>
  </si>
  <si>
    <t>Equal: +200 bps</t>
  </si>
  <si>
    <t>b) Unequal rate change: assume RSA rates rise by +150 bps while RSL rates rise by +75 bps. ΔNII = (RSA × ΔRRSA) − (RSL × ΔRRSL)</t>
  </si>
  <si>
    <t>Value</t>
  </si>
  <si>
    <t>RSA Up to 1 Year ($000s)</t>
  </si>
  <si>
    <t>ΔRRSA (decimal)</t>
  </si>
  <si>
    <t>RSL Up to 1 Year ($000s)</t>
  </si>
  <si>
    <t>ΔRRSL (decimal)</t>
  </si>
  <si>
    <t>Interest Revenue Change = RSA × ΔRRSA ($000s)</t>
  </si>
  <si>
    <t>Interest Expense Change = RSL × ΔRRSL ($000s)</t>
  </si>
  <si>
    <t>Q3. UNREALIZED GAINS/LOSSES ON SECURITIES</t>
  </si>
  <si>
    <t>Compute the dollar amount of unrealized losses.</t>
  </si>
  <si>
    <t>12/31/2022</t>
  </si>
  <si>
    <t>12/31/2021</t>
  </si>
  <si>
    <t>Change</t>
  </si>
  <si>
    <t>Total AFS/HTM Unrl App (Dep) to Tier 1 Cap (%)</t>
  </si>
  <si>
    <t>Estimated $ Unrealized Loss AFS</t>
  </si>
  <si>
    <t>Estimated $ Unrealized Loss HTM</t>
  </si>
  <si>
    <t>Estimated $ Unrealized Loss AFS+HTM ($000s)</t>
  </si>
  <si>
    <t>Q4. DURATION GAP ANALYSIS</t>
  </si>
  <si>
    <t xml:space="preserve">Compute the change in the market value of SVB's equity (ΔE) under a +200 bps parallel shock </t>
  </si>
  <si>
    <t>Parameter</t>
  </si>
  <si>
    <t>Source</t>
  </si>
  <si>
    <t>DA (Weighted-Avg Duration of Assets)</t>
  </si>
  <si>
    <t>Given</t>
  </si>
  <si>
    <t>DL (Weighted-Avg Duration of Liabilities)</t>
  </si>
  <si>
    <t>k = Total Liabilities / Total Assets</t>
  </si>
  <si>
    <t>Calculate from Data Extraction</t>
  </si>
  <si>
    <t>A = Total Assets ($000s)</t>
  </si>
  <si>
    <t>Data Extraction</t>
  </si>
  <si>
    <t>R = Net Int Inc (TE) to Avg Earn Assets (decimal)</t>
  </si>
  <si>
    <t>Data Extraction. Convert % to decimal</t>
  </si>
  <si>
    <t>Duration Gap</t>
  </si>
  <si>
    <t>Calculate</t>
  </si>
  <si>
    <t>Interest rate increase: 200 basis points</t>
  </si>
  <si>
    <t>ΔE ($000s)</t>
  </si>
  <si>
    <t>PART 2B: LIQUIDITY RISK ANALYSIS</t>
  </si>
  <si>
    <t>Q5. DEPOSIT STRUCTURE</t>
  </si>
  <si>
    <t>Total Deposits ($000s) [from Data Extraction]:</t>
  </si>
  <si>
    <t>Deposit Category</t>
  </si>
  <si>
    <t>Value ($000s)</t>
  </si>
  <si>
    <t>% of Total Deposits</t>
  </si>
  <si>
    <t>% of Total Assets</t>
  </si>
  <si>
    <t>All now &amp; ATS Accounts</t>
  </si>
  <si>
    <t>Memo: Estimate of Uninsured Deposits</t>
  </si>
  <si>
    <t xml:space="preserve">Insured Deposits </t>
  </si>
  <si>
    <t>Memo: Non-Interest Bearing Deposits</t>
  </si>
  <si>
    <t>Q6. LIQUIDITY RATIOS AND INDICATORS</t>
  </si>
  <si>
    <t>a) State whether SVB's liquidity position is favorable, unfavorable, or neutral relative to the peer group.</t>
  </si>
  <si>
    <t>Ratio</t>
  </si>
  <si>
    <t xml:space="preserve"> Favorable, Unfavorable, or Neutral relative to PG?</t>
  </si>
  <si>
    <t>Unfavorable - SVB higher than PG (more reliance on non-core funding)</t>
  </si>
  <si>
    <t>Favorable - SVB lower than PG (less loan-to-deposit pressure)</t>
  </si>
  <si>
    <t>Favorable - SVB higher than PG (more liquid assets)</t>
  </si>
  <si>
    <t>Unfavorable - SVB higher than PG (more uninsured large deposits at risk)</t>
  </si>
  <si>
    <t>Neutral - SVB slightly below PG</t>
  </si>
  <si>
    <t xml:space="preserve">b) Compute SVB's liquid assets by component using the data from the Data Extraction sheet. </t>
  </si>
  <si>
    <t>Then compute (i) cash-like assets (Cash + Interest-Bearing Bank Balances + Fed Funds Sold), and (ii) cash-like assets plus AFS securities.</t>
  </si>
  <si>
    <t xml:space="preserve"> These values are used in the Stress Scenario (Q15-Q16)</t>
  </si>
  <si>
    <t>Liquid Assets FV in $ ($000s)</t>
  </si>
  <si>
    <t>Cash &amp; Due From Banks  $ ($000s)</t>
  </si>
  <si>
    <t>Interest-Bearing Bank Balances  $ ($000s)</t>
  </si>
  <si>
    <t>AFS Sec Fair Value  $ ($000s)</t>
  </si>
  <si>
    <t>HTM Sec Fair Value  $ ($000s)</t>
  </si>
  <si>
    <t>Fed Funds Sold &amp; Resales  $ ($000s)</t>
  </si>
  <si>
    <t>Cash-like Assets in $ ($000s) = Cash + IBBB + Fed Funds Sold</t>
  </si>
  <si>
    <t>Cash-like Assets + AFS Sec $ ($000s)</t>
  </si>
  <si>
    <t>PART 2C: CREDIT RISK ANALYSIS</t>
  </si>
  <si>
    <t>Q7. LOAN PORTFOLIO COMPOSITION</t>
  </si>
  <si>
    <t>Loan Category (% of Avg Gross LN&amp;LS)</t>
  </si>
  <si>
    <t>Difference (pp)</t>
  </si>
  <si>
    <t>Real Estate Loans</t>
  </si>
  <si>
    <t xml:space="preserve">Commercial &amp; Industrial Loans </t>
  </si>
  <si>
    <t>Report SVB’s Texas Ratio (from Q9) and your RAROC result (from Q10), including the</t>
  </si>
  <si>
    <t>Loans to Individuals</t>
  </si>
  <si>
    <t>benchmark. What do these metrics suggest about the importance of credit risk in SVB’s</t>
  </si>
  <si>
    <t>Non-Depository and Other</t>
  </si>
  <si>
    <t>overall risk profile? Was credit risk the primary driver of SVB’s failure? If not, explain briefly</t>
  </si>
  <si>
    <t xml:space="preserve">Foreign Office Loans &amp; Leases </t>
  </si>
  <si>
    <t>what role, if any, credit risk played</t>
  </si>
  <si>
    <t>Q8. CREDIT QUALITY METRICS</t>
  </si>
  <si>
    <t>Metric</t>
  </si>
  <si>
    <t xml:space="preserve">SVB </t>
  </si>
  <si>
    <t xml:space="preserve">Difference </t>
  </si>
  <si>
    <t>Q9. TEXAS RATIO</t>
  </si>
  <si>
    <t>Compute SVB's Texas Ratio:</t>
  </si>
  <si>
    <t>Texas Ratio = (Non-Current Loans + OREO) / (Tangible Common Equity + ACL on LN&amp;LS) × 100</t>
  </si>
  <si>
    <t>where Tangible Common Equity = Total Bank Equity Capital - Total Intangibles.</t>
  </si>
  <si>
    <t>Non-Current LN&amp;LS ($000s)</t>
  </si>
  <si>
    <t>Other Real Estate Owned ($000s)</t>
  </si>
  <si>
    <t>Numerator: Non-Current + OREO ($000s)</t>
  </si>
  <si>
    <t>Total Bank Capital &amp; Min Int ($000s)</t>
  </si>
  <si>
    <t>Total Intangibles ($000s)</t>
  </si>
  <si>
    <t>Tangible Common Equity ($000s)</t>
  </si>
  <si>
    <t>ACL on LN&amp;LS HFI ($000s)</t>
  </si>
  <si>
    <t>Denominator: TCE + ACL ($000s)</t>
  </si>
  <si>
    <t>Texas Ratio (%)</t>
  </si>
  <si>
    <t>Q10. RAROC CALCULATION</t>
  </si>
  <si>
    <t>Compute RAROC for SVB's Commercial &amp; Industrial loan portfolio:</t>
  </si>
  <si>
    <t>RAROC = One-Year Net Income on Loan / Capital at Risk × 100</t>
  </si>
  <si>
    <t>where:</t>
  </si>
  <si>
    <t>One-Year Net Income = Loan × (Yield + Commitment Fee - Cost of Funds)</t>
  </si>
  <si>
    <t>Capital at Risk (ΔLN) = Duration × Loan × ΔR / (1+R)</t>
  </si>
  <si>
    <t>ΔR is the maximum adverse change in the risk premium. Compare RAROC to the benchmark (Cost of Funds + 275 bps).</t>
  </si>
  <si>
    <t>Commercial Loan Amount ($000s)</t>
  </si>
  <si>
    <t>Market Interest Rate: C&amp;I Yield (%)</t>
  </si>
  <si>
    <t>Annual Commitment Fee (decimal)</t>
  </si>
  <si>
    <t>Loan Duration (years)</t>
  </si>
  <si>
    <t>Cost of Funds: All Int-Bearing Funds (%)</t>
  </si>
  <si>
    <t>Max Adverse Change in Risk Premium (%)</t>
  </si>
  <si>
    <t>One-Year Net Income ($000s)</t>
  </si>
  <si>
    <t>ΔLN = Capital at Risk ($000s)</t>
  </si>
  <si>
    <t>RAROC (%)</t>
  </si>
  <si>
    <t>Benchmark (%)</t>
  </si>
  <si>
    <t>Decision: Accept or Reject?</t>
  </si>
  <si>
    <t>Accept</t>
  </si>
  <si>
    <t>Compare RAROC to Benchmark</t>
  </si>
  <si>
    <t>PART 2D: CAPITAL ADEQUACY ANALYSIS</t>
  </si>
  <si>
    <t>Q11. REGULATORY CAPITAL RATIOS</t>
  </si>
  <si>
    <t>Determine SVB's PCA category. "Well Capitalized" requires: CET1≥6.5%, Tier1≥8%, Total≥10%, Leverage≥5%.</t>
  </si>
  <si>
    <t>Capital Ratio</t>
  </si>
  <si>
    <t>Well-Capitalized Minimum</t>
  </si>
  <si>
    <t>SVB Meets? (Yes/No)</t>
  </si>
  <si>
    <t>CET1 Capital Ratio (%)</t>
  </si>
  <si>
    <t>Yes</t>
  </si>
  <si>
    <t>Overall PCA Category:</t>
  </si>
  <si>
    <t>Well-Capitalized</t>
  </si>
  <si>
    <t>Well Cap. / Adequately Cap. / Undercapitalized / etc.</t>
  </si>
  <si>
    <t>Q12. RISK-WEIGHTED ASSETS COMPOSITION</t>
  </si>
  <si>
    <t>Compute each risk-weight category as a percentage of Total RWA.</t>
  </si>
  <si>
    <t>RWA Category</t>
  </si>
  <si>
    <t>RWA Value ($000s)</t>
  </si>
  <si>
    <t>% of Total RWA</t>
  </si>
  <si>
    <t xml:space="preserve">20% Category (On-BS) </t>
  </si>
  <si>
    <t xml:space="preserve">50% Category (On-BS) </t>
  </si>
  <si>
    <t xml:space="preserve">100% Category (On-BS) </t>
  </si>
  <si>
    <t xml:space="preserve">150% Category (On-BS) </t>
  </si>
  <si>
    <t xml:space="preserve">Other On-BS Categories </t>
  </si>
  <si>
    <t>On-Balance Sheet RWA Subtotal</t>
  </si>
  <si>
    <t xml:space="preserve">Derivatives, Off-BS and Other Risk Weight </t>
  </si>
  <si>
    <t xml:space="preserve">Total Risk-Weighted Assets </t>
  </si>
  <si>
    <t>PART 3: STRESS SCENARIO ANALYSIS</t>
  </si>
  <si>
    <t>SCENARIO PARAMETERS</t>
  </si>
  <si>
    <t>Interest Rate Shock</t>
  </si>
  <si>
    <t>NPL Increase (pp)</t>
  </si>
  <si>
    <t>Deposit Outflow (%)</t>
  </si>
  <si>
    <t>A</t>
  </si>
  <si>
    <t>B</t>
  </si>
  <si>
    <t>C</t>
  </si>
  <si>
    <t>D</t>
  </si>
  <si>
    <t>E</t>
  </si>
  <si>
    <t>G</t>
  </si>
  <si>
    <t>H</t>
  </si>
  <si>
    <t>YOUR ASSIGNED SCENARIO:</t>
  </si>
  <si>
    <t>Enter A-H</t>
  </si>
  <si>
    <t>Q13. STRESS - INTEREST RATE RISK</t>
  </si>
  <si>
    <t>Calculate the stressed NII using your 1-Year Cumulative GAP from Q1.</t>
  </si>
  <si>
    <t>Step</t>
  </si>
  <si>
    <t>1. Cumulative 1-Year GAP ($000s) [from Q1]</t>
  </si>
  <si>
    <t>2. Interest Rate Shock from your scenario</t>
  </si>
  <si>
    <t>3. ΔNII ($000s)</t>
  </si>
  <si>
    <t>4. Baseline Net Interest Income ($000s) [from Data Extr.]</t>
  </si>
  <si>
    <t>5. Stressed NII ($000s)</t>
  </si>
  <si>
    <t>6. % Change in NII</t>
  </si>
  <si>
    <t>Q14. STRESS - CREDIT RISK</t>
  </si>
  <si>
    <t>Apply the NPL increase from your assigned scenario to SVB's loan portfolio. Assume a Loss Given Default (LGD) of 45% on new non-performing loans. Compute the additional provisions required and the stressed ACL.</t>
  </si>
  <si>
    <t>1. Baseline Non-Curr Lns+OREO to Lns+OREO (%)  [from Data Extr.]</t>
  </si>
  <si>
    <t>2. NPL Increase from scenario (pp)</t>
  </si>
  <si>
    <t xml:space="preserve">3. Stressed NPL Ratio (%) </t>
  </si>
  <si>
    <t>4. Total Loans + OREO ($000s) [≈ Net Loans + ACL + OREO]</t>
  </si>
  <si>
    <t>5. New Non-Performing Loans ($000s) = NPL increase pp × Total Loans</t>
  </si>
  <si>
    <t>6. Loss Given Default (LGD) in %</t>
  </si>
  <si>
    <t>7. Additional Provisions = New NPLs × LGD ($000s)</t>
  </si>
  <si>
    <t>8. Baseline ACL  [from Data Extr.]</t>
  </si>
  <si>
    <t xml:space="preserve">9. Stressed ACL ($000s) </t>
  </si>
  <si>
    <t>Q15. STRESS - LIQUIDITY RISK</t>
  </si>
  <si>
    <t xml:space="preserve">Compute the deposit outflow from your assigned scenario. Assume outflow comes entirely from uninsured deposits. </t>
  </si>
  <si>
    <t>Compare the scenario deposit outflow to SVB’s cash-like assets and determine whether the bank faces a liquidity shortfall.</t>
  </si>
  <si>
    <t>1. Estimate of Uninsured Deposits ($000s) [from Q5]</t>
  </si>
  <si>
    <t>2. Deposit Outflow % from scenario</t>
  </si>
  <si>
    <t>3. Deposits Lost ($000s)</t>
  </si>
  <si>
    <t>4. Cash-like Assets in ($000s) [from Q6 calculation]</t>
  </si>
  <si>
    <t>5. Surplus / (Shortfall)</t>
  </si>
  <si>
    <t>6. Uninsured Deposits After Outflow ($000s)</t>
  </si>
  <si>
    <t>7. Can SVB meet the outflow from cash-like assets alone? (Yes/No)</t>
  </si>
  <si>
    <t>No</t>
  </si>
  <si>
    <t>Q16. STRESS - CAPITAL ADEQUACY</t>
  </si>
  <si>
    <t xml:space="preserve">Compute the stressed Tier 1 ratio, and Leverage ratio. </t>
  </si>
  <si>
    <t>Assume SVB first uses cash-like liquidity to absorb deposit outflows. Any remaining shortfall is met by</t>
  </si>
  <si>
    <t>selling AFS securities first and then HTM securities if necessary, realizing proportional shares of unrealized losses.</t>
  </si>
  <si>
    <t>Determine SVB's stressed PCA category.</t>
  </si>
  <si>
    <t>1. Baseline Tier 1 Capital ($000s) [from Data Extraction]</t>
  </si>
  <si>
    <t>2. Additional Provisions Required ($000s) [from Q14]</t>
  </si>
  <si>
    <t>3. Liquidity shortfall after using cash-like assets ($000s) [from Q15]</t>
  </si>
  <si>
    <t>Stored this as a positive value</t>
  </si>
  <si>
    <t>4. AFS Sec Fair Value  $ ($000s) [from Q6]</t>
  </si>
  <si>
    <t>5. Amount of AFS sold ($000s) = lesser of shortfall and total AFS fair value</t>
  </si>
  <si>
    <t>6. Estimated $ Unrealized Loss on AFS Securities [from Q3]</t>
  </si>
  <si>
    <t>7. Realized loss on AFS sales ($000s) = (AFS sold / total AFS fair value) × total unrealized AFS loss</t>
  </si>
  <si>
    <t>8. Remaining shortfall after AFS sales ($000s) = initial shortfall - AFS sold</t>
  </si>
  <si>
    <t>9. HTM Securities Fair Value ($000s) [from Q6]</t>
  </si>
  <si>
    <t>10. Amount of HTM sold ($000s) = lesser of remaining shortfall and total HTM fair value</t>
  </si>
  <si>
    <t>11. Estimated $ Unrealized Loss on HTM Securities [from Q3]</t>
  </si>
  <si>
    <t>12. Realized loss on HTM sales ($000s) = (HTM sold / total HTM fair value) × total unrealized HTM loss</t>
  </si>
  <si>
    <t xml:space="preserve">13. Total realized securities (AFS + HTM) losses ($000s) </t>
  </si>
  <si>
    <t>14. Stressed Tier 1 Capital = Baseline - Provisions - Realized Losses</t>
  </si>
  <si>
    <t>15. Total RWA ($000s) [from Data Extraction]</t>
  </si>
  <si>
    <t>16. Stressed Tier 1 Ratio (%) = Stressed T1 / RWA</t>
  </si>
  <si>
    <t>17. Stressed Leverage Ratio (%) = Stressed T1 / Total Assets</t>
  </si>
  <si>
    <t>18. PCA Category under stress</t>
  </si>
  <si>
    <t>Undercapitalized</t>
  </si>
  <si>
    <t>PART 4: PEER COMPARISON</t>
  </si>
  <si>
    <t>Download your comparison bank's UBPR from https://cdr.ffiec.gov/public/ for 12/31/2022.</t>
  </si>
  <si>
    <t>Assigned Comparison Bank:</t>
  </si>
  <si>
    <t>Q17. COMPARATIVE RISK METRICS</t>
  </si>
  <si>
    <t>Comparison Bank</t>
  </si>
  <si>
    <t>Difference</t>
  </si>
  <si>
    <t>Net Loans &amp; Leases to Deposits (%)</t>
  </si>
  <si>
    <t xml:space="preserve">Long-Term Assets to Total Assets (%) </t>
  </si>
  <si>
    <t xml:space="preserve">AFS/HTM Unrl App (Dep) to Tier 1 Cap (%) </t>
  </si>
  <si>
    <t>COMPARISON BANK OPTIONS:</t>
  </si>
  <si>
    <t>JPMorgan Chase Bank (RSSD: 852218)</t>
  </si>
  <si>
    <t>Bank of America (RSSD: 480228)</t>
  </si>
  <si>
    <t>Wells Fargo Bank (RSSD: 451965)</t>
  </si>
  <si>
    <t>Citibank (RSSD: 476810)</t>
  </si>
  <si>
    <t>U.S. Bank (RSSD: 504713)</t>
  </si>
  <si>
    <t>PNC Bank (RSSD: 817824)</t>
  </si>
  <si>
    <t>Truist Bank (RSSD: 852320)</t>
  </si>
  <si>
    <t>Goldman Sachs Bank (RSSD: 2182786)</t>
  </si>
  <si>
    <t>Morgan Stanley Bank (RSSD: 1456501)</t>
  </si>
  <si>
    <t>The Bank of New York Mellon (RSSD: 541101)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</si>
</sst>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#,##0.000"/>
    <numFmt numFmtId="166" formatCode="#,##0.0000"/>
    <numFmt numFmtId="167" formatCode="0.000"/>
  </numFmts>
  <fonts count="22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3.0"/>
      <color rgb="FF2E5090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FF"/>
      <name val="Arial"/>
    </font>
    <font>
      <b/>
      <sz val="12.0"/>
      <color rgb="FFFFFFFF"/>
      <name val="Arial"/>
    </font>
    <font/>
    <font>
      <sz val="11.0"/>
      <color theme="1"/>
      <name val="Calibri"/>
    </font>
    <font>
      <b/>
      <sz val="11.0"/>
      <color rgb="FFFFFFFF"/>
      <name val="Arial"/>
    </font>
    <font>
      <sz val="11.0"/>
      <color rgb="FF000000"/>
      <name val="Arial"/>
    </font>
    <font>
      <i/>
      <sz val="10.0"/>
      <color rgb="FF808080"/>
      <name val="Arial"/>
    </font>
    <font>
      <b/>
      <sz val="12.0"/>
      <color rgb="FFC00000"/>
      <name val="Arial"/>
    </font>
    <font>
      <i/>
      <sz val="10.0"/>
      <color theme="1"/>
      <name val="Arial"/>
    </font>
    <font>
      <b/>
      <sz val="12.0"/>
      <color rgb="FF00B050"/>
      <name val="Arial"/>
    </font>
    <font>
      <b/>
      <sz val="12.0"/>
      <color rgb="FFED7D31"/>
      <name val="Arial"/>
    </font>
    <font>
      <color theme="1"/>
      <name val="Calibri"/>
      <scheme val="minor"/>
    </font>
    <font>
      <b/>
      <sz val="12.0"/>
      <color rgb="FF7030A0"/>
      <name val="Arial"/>
    </font>
    <font>
      <b/>
      <sz val="12.0"/>
      <color rgb="FFFF0000"/>
      <name val="Arial"/>
    </font>
    <font>
      <b/>
      <sz val="12.0"/>
      <color rgb="FF0070C0"/>
      <name val="Arial"/>
    </font>
    <font>
      <b/>
      <sz val="11.0"/>
      <color rgb="FF0070C0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E2EFDA"/>
        <bgColor rgb="FFE2EFDA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readingOrder="0"/>
    </xf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3" fillId="0" fontId="8" numFmtId="0" xfId="0" applyBorder="1" applyFont="1"/>
    <xf borderId="4" fillId="0" fontId="8" numFmtId="0" xfId="0" applyBorder="1" applyFont="1"/>
    <xf borderId="1" fillId="4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2" fontId="5" numFmtId="4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0" fontId="11" numFmtId="0" xfId="0" applyBorder="1" applyFont="1"/>
    <xf borderId="1" fillId="2" fontId="5" numFmtId="4" xfId="0" applyAlignment="1" applyBorder="1" applyFont="1" applyNumberFormat="1">
      <alignment horizontal="center" readingOrder="0"/>
    </xf>
    <xf borderId="0" fillId="0" fontId="8" numFmtId="3" xfId="0" applyFont="1" applyNumberFormat="1"/>
    <xf borderId="1" fillId="0" fontId="5" numFmtId="3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5" numFmtId="4" xfId="0" applyAlignment="1" applyBorder="1" applyFont="1" applyNumberFormat="1">
      <alignment horizontal="center"/>
    </xf>
    <xf borderId="6" fillId="2" fontId="5" numFmtId="4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6" fillId="2" fontId="5" numFmtId="0" xfId="0" applyAlignment="1" applyBorder="1" applyFont="1">
      <alignment horizontal="center" readingOrder="0"/>
    </xf>
    <xf borderId="0" fillId="0" fontId="8" numFmtId="4" xfId="0" applyFont="1" applyNumberFormat="1"/>
    <xf borderId="0" fillId="0" fontId="12" numFmtId="0" xfId="0" applyFont="1"/>
    <xf borderId="0" fillId="0" fontId="13" numFmtId="0" xfId="0" applyFont="1"/>
    <xf borderId="1" fillId="5" fontId="10" numFmtId="4" xfId="0" applyAlignment="1" applyBorder="1" applyFill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1" fillId="6" fontId="10" numFmtId="4" xfId="0" applyAlignment="1" applyBorder="1" applyFill="1" applyFont="1" applyNumberFormat="1">
      <alignment horizontal="center"/>
    </xf>
    <xf borderId="1" fillId="6" fontId="10" numFmtId="165" xfId="0" applyAlignment="1" applyBorder="1" applyFont="1" applyNumberFormat="1">
      <alignment horizontal="center"/>
    </xf>
    <xf borderId="1" fillId="6" fontId="10" numFmtId="166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  <xf borderId="0" fillId="0" fontId="8" numFmtId="164" xfId="0" applyFont="1" applyNumberFormat="1"/>
    <xf borderId="0" fillId="0" fontId="10" numFmtId="0" xfId="0" applyAlignment="1" applyFont="1">
      <alignment shrinkToFit="0" vertical="center" wrapText="1"/>
    </xf>
    <xf borderId="0" fillId="0" fontId="14" numFmtId="0" xfId="0" applyFont="1"/>
    <xf borderId="1" fillId="7" fontId="10" numFmtId="4" xfId="0" applyAlignment="1" applyBorder="1" applyFill="1" applyFont="1" applyNumberFormat="1">
      <alignment horizontal="center"/>
    </xf>
    <xf borderId="1" fillId="8" fontId="3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/>
    </xf>
    <xf borderId="7" fillId="0" fontId="10" numFmtId="0" xfId="0" applyAlignment="1" applyBorder="1" applyFont="1">
      <alignment horizontal="left" shrinkToFit="0" vertical="center" wrapText="1"/>
    </xf>
    <xf borderId="0" fillId="0" fontId="15" numFmtId="0" xfId="0" applyFont="1"/>
    <xf borderId="1" fillId="2" fontId="5" numFmtId="4" xfId="0" applyAlignment="1" applyBorder="1" applyFont="1" applyNumberFormat="1">
      <alignment horizontal="center" vertical="bottom"/>
    </xf>
    <xf borderId="0" fillId="0" fontId="16" numFmtId="0" xfId="0" applyAlignment="1" applyFont="1">
      <alignment readingOrder="0"/>
    </xf>
    <xf borderId="0" fillId="0" fontId="13" numFmtId="0" xfId="0" applyAlignment="1" applyFont="1">
      <alignment shrinkToFit="0" wrapText="1"/>
    </xf>
    <xf borderId="1" fillId="6" fontId="10" numFmtId="0" xfId="0" applyAlignment="1" applyBorder="1" applyFont="1">
      <alignment horizontal="center"/>
    </xf>
    <xf borderId="1" fillId="5" fontId="10" numFmtId="0" xfId="0" applyAlignment="1" applyBorder="1" applyFont="1">
      <alignment horizontal="center" readingOrder="0"/>
    </xf>
    <xf borderId="0" fillId="0" fontId="17" numFmtId="0" xfId="0" applyFont="1"/>
    <xf borderId="1" fillId="6" fontId="10" numFmtId="10" xfId="0" applyAlignment="1" applyBorder="1" applyFont="1" applyNumberFormat="1">
      <alignment horizontal="center"/>
    </xf>
    <xf borderId="8" fillId="3" fontId="6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0" fillId="0" fontId="18" numFmtId="0" xfId="0" applyFont="1"/>
    <xf borderId="1" fillId="6" fontId="10" numFmtId="167" xfId="0" applyAlignment="1" applyBorder="1" applyFont="1" applyNumberFormat="1">
      <alignment horizontal="center"/>
    </xf>
    <xf borderId="1" fillId="6" fontId="10" numFmtId="2" xfId="0" applyAlignment="1" applyBorder="1" applyFont="1" applyNumberFormat="1">
      <alignment horizontal="center"/>
    </xf>
    <xf borderId="1" fillId="5" fontId="10" numFmtId="2" xfId="0" applyAlignment="1" applyBorder="1" applyFont="1" applyNumberFormat="1">
      <alignment horizontal="center"/>
    </xf>
    <xf borderId="2" fillId="3" fontId="6" numFmtId="0" xfId="0" applyAlignment="1" applyBorder="1" applyFont="1">
      <alignment horizontal="left" vertical="center"/>
    </xf>
    <xf borderId="0" fillId="0" fontId="19" numFmtId="0" xfId="0" applyFont="1"/>
    <xf borderId="1" fillId="2" fontId="5" numFmtId="2" xfId="0" applyAlignment="1" applyBorder="1" applyFont="1" applyNumberFormat="1">
      <alignment horizontal="center" readingOrder="0"/>
    </xf>
    <xf borderId="1" fillId="5" fontId="3" numFmtId="4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106.0"/>
    <col customWidth="1" min="3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/>
    <row r="5" ht="14.25" customHeight="1">
      <c r="A5" s="3" t="s">
        <v>3</v>
      </c>
    </row>
    <row r="6" ht="14.25" customHeight="1">
      <c r="A6" s="3" t="s">
        <v>4</v>
      </c>
    </row>
    <row r="7" ht="14.25" customHeight="1">
      <c r="A7" s="3" t="s">
        <v>5</v>
      </c>
    </row>
    <row r="8" ht="14.25" customHeight="1">
      <c r="A8" s="3" t="s">
        <v>6</v>
      </c>
    </row>
    <row r="9" ht="14.25" customHeight="1">
      <c r="A9" s="3"/>
    </row>
    <row r="10" ht="14.25" customHeight="1">
      <c r="A10" s="3" t="s">
        <v>7</v>
      </c>
    </row>
    <row r="11" ht="14.25" customHeight="1">
      <c r="A11" s="3" t="s">
        <v>8</v>
      </c>
    </row>
    <row r="12" ht="14.25" customHeight="1">
      <c r="A12" s="3"/>
    </row>
    <row r="13" ht="14.25" customHeight="1">
      <c r="A13" s="3" t="s">
        <v>9</v>
      </c>
    </row>
    <row r="14" ht="14.25" customHeight="1">
      <c r="A14" s="3" t="s">
        <v>10</v>
      </c>
    </row>
    <row r="15" ht="14.25" customHeight="1">
      <c r="A15" s="3" t="s">
        <v>11</v>
      </c>
    </row>
    <row r="16" ht="14.25" customHeight="1">
      <c r="A16" s="3" t="s">
        <v>12</v>
      </c>
    </row>
    <row r="17" ht="14.25" customHeight="1">
      <c r="A17" s="3" t="s">
        <v>13</v>
      </c>
    </row>
    <row r="18" ht="14.25" customHeight="1">
      <c r="A18" s="3" t="s">
        <v>14</v>
      </c>
    </row>
    <row r="19" ht="14.25" customHeight="1">
      <c r="A19" s="3" t="s">
        <v>15</v>
      </c>
    </row>
    <row r="20" ht="14.25" customHeight="1">
      <c r="A20" s="3" t="s">
        <v>16</v>
      </c>
    </row>
    <row r="21" ht="14.25" customHeight="1">
      <c r="A21" s="3" t="s">
        <v>17</v>
      </c>
    </row>
    <row r="22" ht="14.25" customHeight="1">
      <c r="A22" s="3"/>
    </row>
    <row r="23" ht="14.25" customHeight="1">
      <c r="A23" s="3" t="s">
        <v>18</v>
      </c>
    </row>
    <row r="24" ht="14.25" customHeight="1"/>
    <row r="25" ht="14.25" customHeight="1">
      <c r="A25" s="4" t="s">
        <v>19</v>
      </c>
      <c r="B25" s="5">
        <v>66.0</v>
      </c>
    </row>
    <row r="26" ht="14.25" customHeight="1">
      <c r="A26" s="4" t="s">
        <v>20</v>
      </c>
      <c r="B26" s="5" t="s">
        <v>21</v>
      </c>
    </row>
    <row r="27" ht="14.25" customHeight="1">
      <c r="A27" s="4" t="s">
        <v>22</v>
      </c>
      <c r="B27" s="5" t="s">
        <v>23</v>
      </c>
    </row>
    <row r="28" ht="14.25" customHeight="1">
      <c r="A28" s="4" t="s">
        <v>24</v>
      </c>
      <c r="B28" s="5" t="s">
        <v>25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090"/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3" width="20.0"/>
    <col customWidth="1" min="4" max="4" width="18.0"/>
    <col customWidth="1" min="5" max="5" width="20.0"/>
    <col customWidth="1" min="6" max="6" width="14.0"/>
    <col customWidth="1" min="7" max="26" width="8.71"/>
  </cols>
  <sheetData>
    <row r="1" ht="27.75" customHeight="1">
      <c r="A1" s="6" t="s">
        <v>26</v>
      </c>
      <c r="B1" s="7"/>
      <c r="C1" s="7"/>
      <c r="D1" s="7"/>
      <c r="E1" s="7"/>
      <c r="F1" s="8"/>
    </row>
    <row r="2" ht="27.75" customHeight="1">
      <c r="A2" s="6" t="s">
        <v>27</v>
      </c>
      <c r="B2" s="7"/>
      <c r="C2" s="7"/>
      <c r="D2" s="9"/>
      <c r="E2" s="10"/>
      <c r="F2" s="11"/>
    </row>
    <row r="3" ht="14.25" customHeight="1">
      <c r="A3" s="12" t="s">
        <v>28</v>
      </c>
      <c r="B3" s="12" t="s">
        <v>29</v>
      </c>
      <c r="C3" s="12" t="s">
        <v>30</v>
      </c>
      <c r="D3" s="12" t="s">
        <v>31</v>
      </c>
    </row>
    <row r="4" ht="14.25" customHeight="1">
      <c r="A4" s="13" t="s">
        <v>32</v>
      </c>
    </row>
    <row r="5" ht="14.25" customHeight="1">
      <c r="A5" s="14" t="s">
        <v>33</v>
      </c>
      <c r="B5" s="15">
        <v>7.3613E7</v>
      </c>
      <c r="C5" s="15">
        <v>6.5852E7</v>
      </c>
      <c r="D5" s="16" t="s">
        <v>34</v>
      </c>
      <c r="E5" s="17" t="s">
        <v>35</v>
      </c>
    </row>
    <row r="6" ht="14.25" customHeight="1">
      <c r="A6" s="14" t="s">
        <v>36</v>
      </c>
      <c r="B6" s="18">
        <v>1.9094E7</v>
      </c>
      <c r="C6" s="18">
        <v>1.607E7</v>
      </c>
      <c r="D6" s="5" t="s">
        <v>34</v>
      </c>
    </row>
    <row r="7" ht="14.25" customHeight="1">
      <c r="A7" s="14" t="s">
        <v>37</v>
      </c>
      <c r="B7" s="18">
        <v>636000.0</v>
      </c>
      <c r="C7" s="18">
        <v>423000.0</v>
      </c>
      <c r="D7" s="16" t="s">
        <v>34</v>
      </c>
    </row>
    <row r="8" ht="14.25" customHeight="1">
      <c r="A8" s="14" t="s">
        <v>38</v>
      </c>
      <c r="B8" s="18">
        <v>1.17297E8</v>
      </c>
      <c r="C8" s="18">
        <v>1.25288E8</v>
      </c>
      <c r="D8" s="5" t="s">
        <v>34</v>
      </c>
    </row>
    <row r="9" ht="14.25" customHeight="1">
      <c r="A9" s="14" t="s">
        <v>39</v>
      </c>
      <c r="B9" s="18">
        <v>9.2156E7</v>
      </c>
      <c r="C9" s="18">
        <v>1.00862E8</v>
      </c>
      <c r="D9" s="16" t="s">
        <v>34</v>
      </c>
    </row>
    <row r="10" ht="14.25" customHeight="1">
      <c r="A10" s="14" t="s">
        <v>40</v>
      </c>
      <c r="B10" s="18">
        <v>1.1319E7</v>
      </c>
      <c r="C10" s="18">
        <v>1.1085E7</v>
      </c>
      <c r="D10" s="5" t="s">
        <v>34</v>
      </c>
      <c r="F10" s="19"/>
    </row>
    <row r="11" ht="14.25" customHeight="1">
      <c r="A11" s="14" t="s">
        <v>41</v>
      </c>
      <c r="B11" s="18">
        <v>2.03063E8</v>
      </c>
      <c r="C11" s="18">
        <v>2.02965E8</v>
      </c>
      <c r="D11" s="16" t="s">
        <v>34</v>
      </c>
    </row>
    <row r="12" ht="14.25" customHeight="1">
      <c r="A12" s="14" t="s">
        <v>42</v>
      </c>
      <c r="B12" s="18">
        <v>0.0</v>
      </c>
      <c r="C12" s="18">
        <v>1000.0</v>
      </c>
      <c r="D12" s="5" t="s">
        <v>34</v>
      </c>
    </row>
    <row r="13" ht="14.25" customHeight="1">
      <c r="A13" s="13" t="s">
        <v>43</v>
      </c>
      <c r="B13" s="18">
        <v>2.09026E8</v>
      </c>
      <c r="C13" s="18">
        <v>2.08581E8</v>
      </c>
      <c r="D13" s="16" t="s">
        <v>34</v>
      </c>
    </row>
    <row r="14" ht="14.25" customHeight="1">
      <c r="A14" s="13"/>
      <c r="B14" s="20"/>
      <c r="C14" s="20"/>
      <c r="D14" s="21"/>
    </row>
    <row r="15" ht="14.25" customHeight="1">
      <c r="A15" s="13" t="s">
        <v>44</v>
      </c>
      <c r="B15" s="20"/>
      <c r="C15" s="20"/>
      <c r="D15" s="21"/>
    </row>
    <row r="16" ht="14.25" customHeight="1">
      <c r="A16" s="14" t="s">
        <v>45</v>
      </c>
      <c r="B16" s="18">
        <v>1.75378E8</v>
      </c>
      <c r="C16" s="18">
        <v>1.91431E8</v>
      </c>
      <c r="D16" s="5" t="s">
        <v>34</v>
      </c>
    </row>
    <row r="17" ht="14.25" customHeight="1">
      <c r="A17" s="14" t="s">
        <v>46</v>
      </c>
      <c r="B17" s="18">
        <v>1.0432E7</v>
      </c>
      <c r="C17" s="18">
        <v>7231000.0</v>
      </c>
      <c r="D17" s="16" t="s">
        <v>34</v>
      </c>
    </row>
    <row r="18" ht="14.25" customHeight="1">
      <c r="A18" s="14" t="s">
        <v>47</v>
      </c>
      <c r="B18" s="18">
        <v>55000.0</v>
      </c>
      <c r="C18" s="18">
        <v>68000.0</v>
      </c>
      <c r="D18" s="5" t="s">
        <v>34</v>
      </c>
    </row>
    <row r="19" ht="14.25" customHeight="1">
      <c r="A19" s="14" t="s">
        <v>48</v>
      </c>
      <c r="B19" s="18">
        <v>1.49444E8</v>
      </c>
      <c r="C19" s="18">
        <v>1.63723E8</v>
      </c>
      <c r="D19" s="16" t="s">
        <v>34</v>
      </c>
    </row>
    <row r="20" ht="14.25" customHeight="1">
      <c r="A20" s="14" t="s">
        <v>49</v>
      </c>
      <c r="B20" s="18">
        <v>79000.0</v>
      </c>
      <c r="C20" s="18">
        <v>3978000.0</v>
      </c>
      <c r="D20" s="5" t="s">
        <v>34</v>
      </c>
    </row>
    <row r="21" ht="14.25" customHeight="1">
      <c r="A21" s="14" t="s">
        <v>50</v>
      </c>
      <c r="B21" s="18">
        <v>65000.0</v>
      </c>
      <c r="C21" s="18">
        <v>96000.0</v>
      </c>
      <c r="D21" s="16" t="s">
        <v>34</v>
      </c>
    </row>
    <row r="22" ht="14.25" customHeight="1">
      <c r="A22" s="14" t="s">
        <v>51</v>
      </c>
      <c r="B22" s="18">
        <v>1404000.0</v>
      </c>
      <c r="C22" s="18">
        <v>282000.0</v>
      </c>
      <c r="D22" s="5" t="s">
        <v>34</v>
      </c>
    </row>
    <row r="23" ht="14.25" customHeight="1">
      <c r="A23" s="14" t="s">
        <v>52</v>
      </c>
      <c r="B23" s="18">
        <v>1.3899E7</v>
      </c>
      <c r="C23" s="18">
        <v>1.6053E7</v>
      </c>
      <c r="D23" s="16" t="s">
        <v>34</v>
      </c>
    </row>
    <row r="24" ht="14.25" customHeight="1">
      <c r="A24" s="14" t="s">
        <v>53</v>
      </c>
      <c r="B24" s="18">
        <v>1.9357E8</v>
      </c>
      <c r="C24" s="18">
        <v>1.93786E8</v>
      </c>
      <c r="D24" s="5" t="s">
        <v>34</v>
      </c>
    </row>
    <row r="25" ht="14.25" customHeight="1">
      <c r="A25" s="14" t="s">
        <v>54</v>
      </c>
      <c r="B25" s="18">
        <v>1.5456E7</v>
      </c>
      <c r="C25" s="18">
        <v>1.4795E7</v>
      </c>
      <c r="D25" s="5" t="s">
        <v>34</v>
      </c>
    </row>
    <row r="26" ht="14.25" customHeight="1">
      <c r="A26" s="13" t="s">
        <v>55</v>
      </c>
      <c r="B26" s="18">
        <v>2.09026E8</v>
      </c>
      <c r="C26" s="18">
        <v>2.08581E8</v>
      </c>
      <c r="D26" s="5" t="s">
        <v>34</v>
      </c>
    </row>
    <row r="27" ht="14.25" customHeight="1">
      <c r="A27" s="13"/>
      <c r="B27" s="22"/>
      <c r="C27" s="22"/>
      <c r="D27" s="21"/>
    </row>
    <row r="28" ht="14.25" customHeight="1">
      <c r="A28" s="13" t="s">
        <v>56</v>
      </c>
      <c r="B28" s="22"/>
      <c r="C28" s="22"/>
      <c r="D28" s="21"/>
    </row>
    <row r="29" ht="14.25" customHeight="1">
      <c r="A29" s="13" t="s">
        <v>57</v>
      </c>
      <c r="B29" s="18">
        <v>285000.0</v>
      </c>
      <c r="C29" s="18">
        <v>298000.0</v>
      </c>
      <c r="D29" s="5" t="s">
        <v>58</v>
      </c>
    </row>
    <row r="30" ht="14.25" customHeight="1">
      <c r="A30" s="13" t="s">
        <v>59</v>
      </c>
      <c r="B30" s="18">
        <v>2.5976E7</v>
      </c>
      <c r="C30" s="18">
        <v>2.7093E7</v>
      </c>
      <c r="D30" s="5" t="s">
        <v>34</v>
      </c>
    </row>
    <row r="31" ht="14.25" customHeight="1">
      <c r="A31" s="23" t="s">
        <v>60</v>
      </c>
      <c r="B31" s="18">
        <v>9.1327E7</v>
      </c>
      <c r="C31" s="18">
        <v>9.8201E7</v>
      </c>
      <c r="D31" s="5" t="s">
        <v>34</v>
      </c>
    </row>
    <row r="32" ht="14.25" customHeight="1">
      <c r="A32" s="13" t="s">
        <v>61</v>
      </c>
      <c r="B32" s="18">
        <v>8.302E7</v>
      </c>
      <c r="C32" s="18">
        <v>1.28079E8</v>
      </c>
      <c r="D32" s="5" t="s">
        <v>34</v>
      </c>
    </row>
    <row r="33" ht="14.25" customHeight="1">
      <c r="A33" s="13" t="s">
        <v>62</v>
      </c>
      <c r="B33" s="18">
        <v>1.51592E8</v>
      </c>
      <c r="C33" s="18">
        <v>1.66017E8</v>
      </c>
      <c r="D33" s="5" t="s">
        <v>34</v>
      </c>
    </row>
    <row r="34" ht="14.25" customHeight="1"/>
    <row r="35" ht="27.75" customHeight="1">
      <c r="A35" s="6" t="s">
        <v>63</v>
      </c>
      <c r="B35" s="7"/>
      <c r="C35" s="7"/>
      <c r="D35" s="9"/>
      <c r="E35" s="10"/>
      <c r="F35" s="11"/>
    </row>
    <row r="36" ht="14.25" customHeight="1">
      <c r="A36" s="12" t="s">
        <v>28</v>
      </c>
      <c r="B36" s="12" t="s">
        <v>64</v>
      </c>
      <c r="C36" s="12" t="s">
        <v>65</v>
      </c>
      <c r="D36" s="12" t="s">
        <v>31</v>
      </c>
      <c r="E36" s="24"/>
    </row>
    <row r="37" ht="14.25" customHeight="1">
      <c r="A37" s="14" t="s">
        <v>66</v>
      </c>
      <c r="B37" s="18">
        <v>4611646.0</v>
      </c>
      <c r="C37" s="18">
        <v>3253646.0</v>
      </c>
      <c r="D37" s="5" t="s">
        <v>67</v>
      </c>
      <c r="E37" s="21"/>
    </row>
    <row r="38" ht="14.25" customHeight="1">
      <c r="A38" s="13" t="s">
        <v>68</v>
      </c>
      <c r="B38" s="18">
        <v>2024000.0</v>
      </c>
      <c r="C38" s="18">
        <v>1294000.0</v>
      </c>
      <c r="D38" s="5" t="s">
        <v>67</v>
      </c>
      <c r="E38" s="21"/>
    </row>
    <row r="39" ht="14.25" customHeight="1">
      <c r="A39" s="13"/>
      <c r="B39" s="22"/>
      <c r="C39" s="22"/>
      <c r="D39" s="21"/>
      <c r="E39" s="21"/>
    </row>
    <row r="40" ht="14.25" customHeight="1">
      <c r="A40" s="13" t="s">
        <v>69</v>
      </c>
      <c r="B40" s="22"/>
      <c r="C40" s="22"/>
      <c r="D40" s="21"/>
      <c r="E40" s="21"/>
    </row>
    <row r="41" ht="14.25" customHeight="1">
      <c r="A41" s="14" t="s">
        <v>70</v>
      </c>
      <c r="B41" s="18">
        <v>2.72</v>
      </c>
      <c r="C41" s="18">
        <v>2.08</v>
      </c>
      <c r="D41" s="5" t="s">
        <v>71</v>
      </c>
      <c r="E41" s="21"/>
    </row>
    <row r="42" ht="14.25" customHeight="1">
      <c r="A42" s="14" t="s">
        <v>72</v>
      </c>
      <c r="B42" s="18">
        <v>0.52</v>
      </c>
      <c r="C42" s="18">
        <v>0.04</v>
      </c>
      <c r="D42" s="5" t="s">
        <v>71</v>
      </c>
      <c r="E42" s="21"/>
    </row>
    <row r="43" ht="14.25" customHeight="1">
      <c r="A43" s="13" t="s">
        <v>73</v>
      </c>
      <c r="B43" s="18">
        <v>2.2</v>
      </c>
      <c r="C43" s="18">
        <v>2.05</v>
      </c>
      <c r="D43" s="5" t="s">
        <v>71</v>
      </c>
      <c r="E43" s="21"/>
    </row>
    <row r="44" ht="14.25" customHeight="1">
      <c r="A44" s="13"/>
      <c r="B44" s="22"/>
      <c r="C44" s="22"/>
      <c r="D44" s="21"/>
      <c r="E44" s="21"/>
    </row>
    <row r="45" ht="14.25" customHeight="1">
      <c r="A45" s="13" t="s">
        <v>74</v>
      </c>
      <c r="B45" s="22"/>
      <c r="C45" s="22"/>
      <c r="D45" s="21"/>
      <c r="E45" s="21"/>
    </row>
    <row r="46" ht="14.25" customHeight="1">
      <c r="A46" s="13" t="s">
        <v>75</v>
      </c>
      <c r="B46" s="18">
        <v>6.66</v>
      </c>
      <c r="C46" s="18">
        <v>5.75</v>
      </c>
      <c r="D46" s="5" t="s">
        <v>76</v>
      </c>
      <c r="E46" s="21"/>
    </row>
    <row r="47" ht="14.25" customHeight="1">
      <c r="A47" s="13" t="s">
        <v>77</v>
      </c>
      <c r="B47" s="18">
        <v>1.84</v>
      </c>
      <c r="C47" s="18">
        <v>1.59</v>
      </c>
      <c r="D47" s="5" t="s">
        <v>76</v>
      </c>
      <c r="E47" s="21"/>
    </row>
    <row r="48" ht="14.25" customHeight="1">
      <c r="A48" s="13" t="s">
        <v>78</v>
      </c>
      <c r="B48" s="18">
        <v>1.34</v>
      </c>
      <c r="C48" s="18">
        <v>1.34</v>
      </c>
      <c r="D48" s="5" t="s">
        <v>76</v>
      </c>
      <c r="E48" s="21"/>
    </row>
    <row r="49" ht="14.25" customHeight="1">
      <c r="A49" s="13" t="s">
        <v>79</v>
      </c>
      <c r="B49" s="18">
        <v>0.6</v>
      </c>
      <c r="C49" s="18">
        <v>0.04</v>
      </c>
      <c r="D49" s="5" t="s">
        <v>76</v>
      </c>
      <c r="E49" s="21"/>
    </row>
    <row r="50" ht="14.25" customHeight="1"/>
    <row r="51" ht="27.75" customHeight="1">
      <c r="A51" s="6" t="s">
        <v>80</v>
      </c>
      <c r="B51" s="7"/>
      <c r="C51" s="7"/>
      <c r="D51" s="7"/>
      <c r="E51" s="7"/>
      <c r="F51" s="8"/>
    </row>
    <row r="52" ht="14.25" customHeight="1">
      <c r="A52" s="12" t="s">
        <v>81</v>
      </c>
      <c r="B52" s="12" t="s">
        <v>82</v>
      </c>
      <c r="C52" s="12" t="s">
        <v>83</v>
      </c>
      <c r="D52" s="12" t="s">
        <v>84</v>
      </c>
      <c r="E52" s="12" t="s">
        <v>85</v>
      </c>
      <c r="F52" s="12" t="s">
        <v>31</v>
      </c>
    </row>
    <row r="53" ht="14.25" customHeight="1">
      <c r="A53" s="13" t="s">
        <v>86</v>
      </c>
      <c r="B53" s="18">
        <v>35.67</v>
      </c>
      <c r="C53" s="18">
        <v>42.85</v>
      </c>
      <c r="D53" s="18">
        <v>25.0</v>
      </c>
      <c r="E53" s="18">
        <v>32.14</v>
      </c>
      <c r="F53" s="5" t="s">
        <v>87</v>
      </c>
    </row>
    <row r="54" ht="14.25" customHeight="1">
      <c r="A54" s="13" t="s">
        <v>88</v>
      </c>
      <c r="B54" s="18">
        <v>9.74</v>
      </c>
      <c r="C54" s="18">
        <v>14.3</v>
      </c>
      <c r="D54" s="18">
        <v>21.0</v>
      </c>
      <c r="E54" s="18">
        <v>10.01</v>
      </c>
      <c r="F54" s="5" t="s">
        <v>87</v>
      </c>
    </row>
    <row r="55" ht="14.25" customHeight="1">
      <c r="A55" s="13" t="s">
        <v>89</v>
      </c>
      <c r="B55" s="18">
        <v>51.92</v>
      </c>
      <c r="C55" s="18">
        <v>32.2</v>
      </c>
      <c r="D55" s="18">
        <v>90.0</v>
      </c>
      <c r="E55" s="18">
        <v>55.26</v>
      </c>
      <c r="F55" s="5" t="s">
        <v>87</v>
      </c>
    </row>
    <row r="56" ht="14.25" customHeight="1">
      <c r="A56" s="13" t="s">
        <v>90</v>
      </c>
      <c r="B56" s="18">
        <v>84.69</v>
      </c>
      <c r="C56" s="18">
        <v>79.72</v>
      </c>
      <c r="D56" s="18">
        <v>68.0</v>
      </c>
      <c r="E56" s="18">
        <v>84.13</v>
      </c>
      <c r="F56" s="5" t="s">
        <v>87</v>
      </c>
    </row>
    <row r="57" ht="14.25" customHeight="1">
      <c r="A57" s="13" t="s">
        <v>91</v>
      </c>
      <c r="B57" s="18">
        <v>0.0</v>
      </c>
      <c r="C57" s="18">
        <v>2.43</v>
      </c>
      <c r="D57" s="18">
        <v>9.0</v>
      </c>
      <c r="E57" s="18">
        <v>0.01</v>
      </c>
      <c r="F57" s="5" t="s">
        <v>87</v>
      </c>
    </row>
    <row r="58" ht="14.25" customHeight="1">
      <c r="A58" s="13" t="s">
        <v>92</v>
      </c>
      <c r="B58" s="18">
        <v>0.0</v>
      </c>
      <c r="C58" s="18">
        <v>0.36</v>
      </c>
      <c r="D58" s="18">
        <v>18.0</v>
      </c>
      <c r="E58" s="18">
        <v>0.0</v>
      </c>
      <c r="F58" s="5" t="s">
        <v>87</v>
      </c>
    </row>
    <row r="59" ht="14.25" customHeight="1"/>
    <row r="60" ht="27.75" customHeight="1">
      <c r="A60" s="6" t="s">
        <v>93</v>
      </c>
      <c r="B60" s="7"/>
      <c r="C60" s="7"/>
      <c r="D60" s="7"/>
      <c r="E60" s="7"/>
      <c r="F60" s="8"/>
    </row>
    <row r="61" ht="14.25" customHeight="1">
      <c r="A61" s="12" t="s">
        <v>94</v>
      </c>
      <c r="B61" s="12" t="s">
        <v>82</v>
      </c>
      <c r="C61" s="12" t="s">
        <v>83</v>
      </c>
      <c r="D61" s="12" t="s">
        <v>84</v>
      </c>
      <c r="E61" s="12" t="s">
        <v>85</v>
      </c>
      <c r="F61" s="12" t="s">
        <v>31</v>
      </c>
    </row>
    <row r="62" ht="14.25" customHeight="1">
      <c r="A62" s="13" t="s">
        <v>95</v>
      </c>
      <c r="B62" s="18">
        <v>-14.86</v>
      </c>
      <c r="C62" s="18">
        <v>-15.48</v>
      </c>
      <c r="D62" s="18">
        <v>50.0</v>
      </c>
      <c r="E62" s="18">
        <v>-1.01</v>
      </c>
      <c r="F62" s="5" t="s">
        <v>96</v>
      </c>
    </row>
    <row r="63" ht="14.25" customHeight="1">
      <c r="A63" s="13" t="s">
        <v>97</v>
      </c>
      <c r="B63" s="18">
        <v>-89.2</v>
      </c>
      <c r="C63" s="18">
        <v>-16.77</v>
      </c>
      <c r="D63" s="18">
        <v>3.0</v>
      </c>
      <c r="E63" s="18">
        <v>-7.67</v>
      </c>
      <c r="F63" s="5" t="s">
        <v>96</v>
      </c>
    </row>
    <row r="64" ht="14.25" customHeight="1">
      <c r="A64" s="13" t="s">
        <v>98</v>
      </c>
      <c r="B64" s="18">
        <v>-104.06</v>
      </c>
      <c r="C64" s="18">
        <v>-31.99</v>
      </c>
      <c r="D64" s="18">
        <v>3.0</v>
      </c>
      <c r="E64" s="18">
        <v>-0.9</v>
      </c>
      <c r="F64" s="5" t="s">
        <v>96</v>
      </c>
    </row>
    <row r="65" ht="14.25" customHeight="1"/>
    <row r="66" ht="27.75" customHeight="1">
      <c r="A66" s="6" t="s">
        <v>99</v>
      </c>
      <c r="B66" s="7"/>
      <c r="C66" s="7"/>
      <c r="D66" s="7"/>
      <c r="E66" s="7"/>
      <c r="F66" s="8"/>
    </row>
    <row r="67" ht="14.25" customHeight="1">
      <c r="A67" s="12" t="s">
        <v>28</v>
      </c>
      <c r="B67" s="12" t="s">
        <v>82</v>
      </c>
      <c r="C67" s="12" t="s">
        <v>83</v>
      </c>
      <c r="D67" s="12" t="s">
        <v>84</v>
      </c>
      <c r="E67" s="12" t="s">
        <v>85</v>
      </c>
      <c r="F67" s="12" t="s">
        <v>31</v>
      </c>
    </row>
    <row r="68" ht="14.25" customHeight="1">
      <c r="A68" s="13" t="s">
        <v>100</v>
      </c>
      <c r="B68" s="18">
        <v>9.34</v>
      </c>
      <c r="C68" s="18">
        <v>1.36</v>
      </c>
      <c r="D68" s="18">
        <v>71.0</v>
      </c>
      <c r="E68" s="18">
        <v>2.29</v>
      </c>
      <c r="F68" s="5" t="s">
        <v>71</v>
      </c>
    </row>
    <row r="69" ht="14.25" customHeight="1">
      <c r="A69" s="13" t="s">
        <v>101</v>
      </c>
      <c r="B69" s="18">
        <v>41.97</v>
      </c>
      <c r="C69" s="18">
        <v>61.72</v>
      </c>
      <c r="D69" s="18">
        <v>18.0</v>
      </c>
      <c r="E69" s="18">
        <v>34.4</v>
      </c>
      <c r="F69" s="5" t="s">
        <v>71</v>
      </c>
    </row>
    <row r="70" ht="14.25" customHeight="1">
      <c r="A70" s="13" t="s">
        <v>102</v>
      </c>
      <c r="B70" s="18">
        <v>55.19</v>
      </c>
      <c r="C70" s="18">
        <v>37.99</v>
      </c>
      <c r="D70" s="18">
        <v>84.0</v>
      </c>
      <c r="E70" s="18">
        <v>66.18</v>
      </c>
      <c r="F70" s="5" t="s">
        <v>103</v>
      </c>
    </row>
    <row r="71" ht="14.25" customHeight="1">
      <c r="A71" s="14" t="s">
        <v>104</v>
      </c>
      <c r="B71" s="18">
        <v>0.57</v>
      </c>
      <c r="C71" s="18">
        <v>0.81</v>
      </c>
      <c r="D71" s="18">
        <v>34.0</v>
      </c>
      <c r="E71" s="18">
        <v>0.98</v>
      </c>
      <c r="F71" s="5" t="s">
        <v>103</v>
      </c>
    </row>
    <row r="72" ht="14.25" customHeight="1">
      <c r="A72" s="14" t="s">
        <v>105</v>
      </c>
      <c r="B72" s="18">
        <v>5.42</v>
      </c>
      <c r="C72" s="18">
        <v>10.69</v>
      </c>
      <c r="D72" s="18">
        <v>37.0</v>
      </c>
      <c r="E72" s="18">
        <v>5.31</v>
      </c>
      <c r="F72" s="5" t="s">
        <v>103</v>
      </c>
    </row>
    <row r="73" ht="14.25" customHeight="1">
      <c r="A73" s="14" t="s">
        <v>106</v>
      </c>
      <c r="B73" s="18">
        <v>12.43</v>
      </c>
      <c r="C73" s="18">
        <v>13.99</v>
      </c>
      <c r="D73" s="18">
        <v>43.0</v>
      </c>
      <c r="E73" s="18">
        <v>12.99</v>
      </c>
      <c r="F73" s="5" t="s">
        <v>103</v>
      </c>
    </row>
    <row r="74" ht="14.25" customHeight="1">
      <c r="A74" s="14" t="s">
        <v>107</v>
      </c>
      <c r="B74" s="18">
        <v>36.44</v>
      </c>
      <c r="C74" s="18">
        <v>9.16</v>
      </c>
      <c r="D74" s="18">
        <v>93.0</v>
      </c>
      <c r="E74" s="18">
        <v>46.61</v>
      </c>
      <c r="F74" s="5" t="s">
        <v>103</v>
      </c>
    </row>
    <row r="75" ht="14.25" customHeight="1">
      <c r="A75" s="14" t="s">
        <v>108</v>
      </c>
      <c r="B75" s="18">
        <v>0.34</v>
      </c>
      <c r="C75" s="18">
        <v>1.46</v>
      </c>
      <c r="D75" s="18">
        <v>59.0</v>
      </c>
      <c r="E75" s="18">
        <v>0.29</v>
      </c>
      <c r="F75" s="5" t="s">
        <v>103</v>
      </c>
    </row>
    <row r="76" ht="14.25" customHeight="1">
      <c r="A76" s="13" t="s">
        <v>109</v>
      </c>
      <c r="B76" s="18">
        <v>74.99</v>
      </c>
      <c r="C76" s="18">
        <v>45.87</v>
      </c>
      <c r="D76" s="18">
        <v>93.0</v>
      </c>
      <c r="E76" s="18">
        <v>81.93</v>
      </c>
      <c r="F76" s="5" t="s">
        <v>103</v>
      </c>
    </row>
    <row r="77" ht="14.25" customHeight="1">
      <c r="A77" s="13" t="s">
        <v>110</v>
      </c>
      <c r="B77" s="18">
        <v>14.1</v>
      </c>
      <c r="C77" s="18">
        <v>14.63</v>
      </c>
      <c r="D77" s="18">
        <v>65.0</v>
      </c>
      <c r="E77" s="18">
        <v>7.75</v>
      </c>
      <c r="F77" s="5" t="s">
        <v>103</v>
      </c>
    </row>
    <row r="78" ht="14.25" customHeight="1"/>
    <row r="79" ht="27.75" customHeight="1">
      <c r="A79" s="6" t="s">
        <v>111</v>
      </c>
      <c r="B79" s="7"/>
      <c r="C79" s="7"/>
      <c r="D79" s="7"/>
      <c r="E79" s="7"/>
      <c r="F79" s="8"/>
    </row>
    <row r="80" ht="14.25" customHeight="1">
      <c r="A80" s="12" t="s">
        <v>28</v>
      </c>
      <c r="B80" s="12" t="s">
        <v>64</v>
      </c>
      <c r="C80" s="12" t="s">
        <v>112</v>
      </c>
      <c r="D80" s="12" t="s">
        <v>84</v>
      </c>
      <c r="E80" s="12" t="s">
        <v>65</v>
      </c>
      <c r="F80" s="12" t="s">
        <v>31</v>
      </c>
    </row>
    <row r="81" ht="14.25" customHeight="1">
      <c r="A81" s="13" t="s">
        <v>113</v>
      </c>
      <c r="B81" s="24"/>
      <c r="C81" s="24"/>
      <c r="D81" s="24"/>
      <c r="E81" s="24"/>
      <c r="F81" s="24"/>
    </row>
    <row r="82" ht="14.25" customHeight="1">
      <c r="A82" s="13" t="s">
        <v>114</v>
      </c>
      <c r="B82" s="18">
        <v>17.02</v>
      </c>
      <c r="C82" s="18">
        <v>36.28</v>
      </c>
      <c r="D82" s="18">
        <v>15.0</v>
      </c>
      <c r="E82" s="18">
        <v>13.82</v>
      </c>
      <c r="F82" s="5" t="s">
        <v>115</v>
      </c>
    </row>
    <row r="83" ht="14.25" customHeight="1">
      <c r="A83" s="13" t="s">
        <v>116</v>
      </c>
      <c r="B83" s="18">
        <v>25.01</v>
      </c>
      <c r="C83" s="18">
        <v>22.91</v>
      </c>
      <c r="D83" s="18">
        <v>59.0</v>
      </c>
      <c r="E83" s="18">
        <v>28.1</v>
      </c>
      <c r="F83" s="5" t="s">
        <v>115</v>
      </c>
    </row>
    <row r="84" ht="14.25" customHeight="1">
      <c r="A84" s="13" t="s">
        <v>117</v>
      </c>
      <c r="B84" s="18">
        <v>0.71</v>
      </c>
      <c r="C84" s="18">
        <v>14.78</v>
      </c>
      <c r="D84" s="18">
        <v>12.0</v>
      </c>
      <c r="E84" s="18">
        <v>0.72</v>
      </c>
      <c r="F84" s="5" t="s">
        <v>115</v>
      </c>
    </row>
    <row r="85" ht="14.25" customHeight="1">
      <c r="A85" s="13" t="s">
        <v>118</v>
      </c>
      <c r="B85" s="18">
        <v>56.17</v>
      </c>
      <c r="C85" s="18">
        <v>18.84</v>
      </c>
      <c r="D85" s="18">
        <v>87.0</v>
      </c>
      <c r="E85" s="18">
        <v>56.83</v>
      </c>
      <c r="F85" s="5" t="s">
        <v>115</v>
      </c>
    </row>
    <row r="86" ht="14.25" customHeight="1">
      <c r="A86" s="13" t="s">
        <v>119</v>
      </c>
      <c r="B86" s="18">
        <v>10.03</v>
      </c>
      <c r="C86" s="18">
        <v>2.68</v>
      </c>
      <c r="D86" s="18">
        <v>81.0</v>
      </c>
      <c r="E86" s="18">
        <v>10.3</v>
      </c>
      <c r="F86" s="5" t="s">
        <v>115</v>
      </c>
    </row>
    <row r="87" ht="14.25" customHeight="1">
      <c r="A87" s="13"/>
      <c r="B87" s="25"/>
      <c r="C87" s="25"/>
      <c r="D87" s="25"/>
      <c r="E87" s="25"/>
      <c r="F87" s="21"/>
    </row>
    <row r="88" ht="14.25" customHeight="1">
      <c r="A88" s="13" t="s">
        <v>120</v>
      </c>
      <c r="B88" s="25"/>
      <c r="C88" s="25"/>
      <c r="D88" s="25"/>
      <c r="E88" s="25"/>
      <c r="F88" s="21"/>
    </row>
    <row r="89" ht="14.25" customHeight="1">
      <c r="A89" s="13" t="s">
        <v>121</v>
      </c>
      <c r="B89" s="18">
        <v>0.1</v>
      </c>
      <c r="C89" s="18">
        <v>0.24</v>
      </c>
      <c r="D89" s="18">
        <v>37.0</v>
      </c>
      <c r="E89" s="18">
        <v>0.21</v>
      </c>
      <c r="F89" s="5" t="s">
        <v>71</v>
      </c>
    </row>
    <row r="90" ht="14.25" customHeight="1">
      <c r="A90" s="13" t="s">
        <v>122</v>
      </c>
      <c r="B90" s="18">
        <v>0.86</v>
      </c>
      <c r="C90" s="18">
        <v>1.24</v>
      </c>
      <c r="D90" s="18">
        <v>34.0</v>
      </c>
      <c r="E90" s="18">
        <v>0.64</v>
      </c>
      <c r="F90" s="5" t="s">
        <v>71</v>
      </c>
    </row>
    <row r="91" ht="14.25" customHeight="1">
      <c r="A91" s="13" t="s">
        <v>123</v>
      </c>
      <c r="B91" s="18">
        <v>4.78</v>
      </c>
      <c r="C91" s="18">
        <v>3.49</v>
      </c>
      <c r="D91" s="18">
        <v>80.0</v>
      </c>
      <c r="E91" s="18">
        <v>5.04</v>
      </c>
      <c r="F91" s="5" t="s">
        <v>71</v>
      </c>
    </row>
    <row r="92" ht="14.25" customHeight="1">
      <c r="A92" s="13" t="s">
        <v>124</v>
      </c>
      <c r="B92" s="18">
        <v>42.15</v>
      </c>
      <c r="C92" s="18">
        <v>103.38</v>
      </c>
      <c r="D92" s="18">
        <v>75.0</v>
      </c>
      <c r="E92" s="18">
        <v>15.65</v>
      </c>
      <c r="F92" s="5" t="s">
        <v>71</v>
      </c>
    </row>
    <row r="93" ht="14.25" customHeight="1">
      <c r="A93" s="13" t="s">
        <v>125</v>
      </c>
      <c r="B93" s="18">
        <v>0.19</v>
      </c>
      <c r="C93" s="18">
        <v>0.61</v>
      </c>
      <c r="D93" s="18">
        <v>21.0</v>
      </c>
      <c r="E93" s="18">
        <v>0.13</v>
      </c>
      <c r="F93" s="5" t="s">
        <v>71</v>
      </c>
    </row>
    <row r="94" ht="14.25" customHeight="1">
      <c r="A94" s="13" t="s">
        <v>126</v>
      </c>
      <c r="B94" s="18">
        <v>0.14</v>
      </c>
      <c r="C94" s="18">
        <v>0.49</v>
      </c>
      <c r="D94" s="18">
        <v>25.0</v>
      </c>
      <c r="E94" s="18">
        <v>0.11</v>
      </c>
      <c r="F94" s="5" t="s">
        <v>71</v>
      </c>
    </row>
    <row r="95" ht="14.25" customHeight="1">
      <c r="A95" s="13" t="s">
        <v>127</v>
      </c>
      <c r="B95" s="18">
        <v>0.19</v>
      </c>
      <c r="C95" s="18">
        <v>0.6</v>
      </c>
      <c r="D95" s="18">
        <v>21.0</v>
      </c>
      <c r="E95" s="18">
        <v>0.13</v>
      </c>
      <c r="F95" s="5" t="s">
        <v>71</v>
      </c>
    </row>
    <row r="96" ht="14.25" customHeight="1">
      <c r="A96" s="13" t="s">
        <v>128</v>
      </c>
      <c r="B96" s="26">
        <v>139000.0</v>
      </c>
      <c r="C96" s="27"/>
      <c r="D96" s="27"/>
      <c r="E96" s="26">
        <v>84000.0</v>
      </c>
      <c r="F96" s="28" t="s">
        <v>129</v>
      </c>
    </row>
    <row r="97" ht="14.25" customHeight="1"/>
    <row r="98" ht="27.75" customHeight="1">
      <c r="A98" s="6" t="s">
        <v>130</v>
      </c>
      <c r="B98" s="7"/>
      <c r="C98" s="7"/>
      <c r="D98" s="7"/>
      <c r="E98" s="7"/>
      <c r="F98" s="8"/>
    </row>
    <row r="99" ht="14.25" customHeight="1">
      <c r="A99" s="12" t="s">
        <v>28</v>
      </c>
      <c r="B99" s="12" t="s">
        <v>64</v>
      </c>
      <c r="C99" s="12" t="s">
        <v>112</v>
      </c>
      <c r="D99" s="12" t="s">
        <v>84</v>
      </c>
      <c r="E99" s="12" t="s">
        <v>65</v>
      </c>
      <c r="F99" s="12" t="s">
        <v>31</v>
      </c>
    </row>
    <row r="100" ht="14.25" customHeight="1">
      <c r="A100" s="13" t="s">
        <v>131</v>
      </c>
      <c r="B100" s="18">
        <v>7.9626</v>
      </c>
      <c r="C100" s="18">
        <v>8.76</v>
      </c>
      <c r="D100" s="18">
        <v>21.0</v>
      </c>
      <c r="E100" s="18">
        <v>7.2429</v>
      </c>
      <c r="F100" s="5" t="s">
        <v>58</v>
      </c>
    </row>
    <row r="101" ht="14.25" customHeight="1">
      <c r="A101" s="13" t="s">
        <v>132</v>
      </c>
      <c r="B101" s="18">
        <v>15.2639</v>
      </c>
      <c r="C101" s="18">
        <v>14.31</v>
      </c>
      <c r="D101" s="18">
        <v>65.0</v>
      </c>
      <c r="E101" s="18">
        <v>14.8879</v>
      </c>
      <c r="F101" s="5" t="s">
        <v>58</v>
      </c>
    </row>
    <row r="102" ht="14.25" customHeight="1">
      <c r="A102" s="13" t="s">
        <v>133</v>
      </c>
      <c r="B102" s="18">
        <v>15.26</v>
      </c>
      <c r="C102" s="18">
        <v>14.48</v>
      </c>
      <c r="D102" s="18">
        <v>62.0</v>
      </c>
      <c r="E102" s="18">
        <v>14.8879</v>
      </c>
      <c r="F102" s="5" t="s">
        <v>58</v>
      </c>
    </row>
    <row r="103" ht="14.25" customHeight="1">
      <c r="A103" s="13" t="s">
        <v>134</v>
      </c>
      <c r="B103" s="18">
        <v>16.0507</v>
      </c>
      <c r="C103" s="18">
        <v>15.78</v>
      </c>
      <c r="D103" s="18">
        <v>62.0</v>
      </c>
      <c r="E103" s="18">
        <v>15.4041</v>
      </c>
      <c r="F103" s="5" t="s">
        <v>58</v>
      </c>
    </row>
    <row r="104" ht="14.25" customHeight="1">
      <c r="A104" s="13" t="s">
        <v>135</v>
      </c>
      <c r="B104" s="18">
        <v>7.39</v>
      </c>
      <c r="C104" s="18">
        <v>9.08</v>
      </c>
      <c r="D104" s="18">
        <v>18.0</v>
      </c>
      <c r="E104" s="18">
        <v>7.09</v>
      </c>
      <c r="F104" s="5" t="s">
        <v>58</v>
      </c>
    </row>
    <row r="105" ht="14.25" customHeight="1">
      <c r="A105" s="13" t="s">
        <v>136</v>
      </c>
      <c r="B105" s="18">
        <v>1.6995E7</v>
      </c>
      <c r="C105" s="22"/>
      <c r="D105" s="22"/>
      <c r="E105" s="18">
        <v>1.4622E7</v>
      </c>
      <c r="F105" s="5" t="s">
        <v>137</v>
      </c>
    </row>
    <row r="106" ht="14.25" customHeight="1">
      <c r="A106" s="13" t="s">
        <v>138</v>
      </c>
      <c r="B106" s="18">
        <v>1.57502E7</v>
      </c>
      <c r="C106" s="22"/>
      <c r="D106" s="22"/>
      <c r="E106" s="18">
        <v>1.73034E7</v>
      </c>
      <c r="F106" s="5" t="s">
        <v>139</v>
      </c>
    </row>
    <row r="107" ht="14.25" customHeight="1">
      <c r="A107" s="13" t="s">
        <v>140</v>
      </c>
      <c r="B107" s="18">
        <v>4666500.0</v>
      </c>
      <c r="C107" s="22"/>
      <c r="D107" s="22"/>
      <c r="E107" s="18">
        <v>3937000.0</v>
      </c>
      <c r="F107" s="5" t="s">
        <v>139</v>
      </c>
    </row>
    <row r="108" ht="14.25" customHeight="1">
      <c r="A108" s="13" t="s">
        <v>141</v>
      </c>
      <c r="B108" s="18">
        <v>6.8948E7</v>
      </c>
      <c r="C108" s="22"/>
      <c r="D108" s="22"/>
      <c r="E108" s="18">
        <v>6.1084E7</v>
      </c>
      <c r="F108" s="5" t="s">
        <v>139</v>
      </c>
    </row>
    <row r="109" ht="14.25" customHeight="1">
      <c r="A109" s="13" t="s">
        <v>142</v>
      </c>
      <c r="B109" s="18">
        <v>10500.0</v>
      </c>
      <c r="C109" s="22"/>
      <c r="D109" s="22"/>
      <c r="E109" s="18">
        <v>54000.0</v>
      </c>
      <c r="F109" s="5" t="s">
        <v>139</v>
      </c>
    </row>
    <row r="110" ht="14.25" customHeight="1">
      <c r="A110" s="13" t="s">
        <v>143</v>
      </c>
      <c r="B110" s="18">
        <v>23000.0</v>
      </c>
      <c r="C110" s="22"/>
      <c r="D110" s="22"/>
      <c r="E110" s="18">
        <v>34000.0</v>
      </c>
      <c r="F110" s="5" t="s">
        <v>139</v>
      </c>
    </row>
    <row r="111" ht="14.25" customHeight="1">
      <c r="A111" s="13" t="s">
        <v>144</v>
      </c>
      <c r="B111" s="18">
        <v>8.95982E7</v>
      </c>
      <c r="C111" s="22"/>
      <c r="D111" s="22"/>
      <c r="E111" s="18">
        <v>5.3952E7</v>
      </c>
      <c r="F111" s="5" t="s">
        <v>139</v>
      </c>
    </row>
    <row r="112" ht="14.25" customHeight="1">
      <c r="A112" s="13" t="s">
        <v>145</v>
      </c>
      <c r="B112" s="18">
        <v>2.17415E7</v>
      </c>
      <c r="C112" s="22"/>
      <c r="D112" s="22"/>
      <c r="E112" s="18">
        <v>1.51767E7</v>
      </c>
      <c r="F112" s="5" t="s">
        <v>139</v>
      </c>
    </row>
    <row r="113" ht="14.25" customHeight="1">
      <c r="A113" s="13" t="s">
        <v>146</v>
      </c>
      <c r="B113" s="18">
        <v>1.11341E8</v>
      </c>
      <c r="C113" s="22"/>
      <c r="D113" s="22"/>
      <c r="E113" s="18">
        <v>9.8214E7</v>
      </c>
      <c r="F113" s="5" t="s">
        <v>139</v>
      </c>
    </row>
    <row r="114" ht="14.25" customHeight="1">
      <c r="B114" s="29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F1"/>
    <mergeCell ref="A2:D2"/>
    <mergeCell ref="A35:D35"/>
    <mergeCell ref="A51:F51"/>
    <mergeCell ref="A60:F60"/>
    <mergeCell ref="A66:F66"/>
    <mergeCell ref="A79:F79"/>
    <mergeCell ref="A98:F98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7" width="20.0"/>
    <col customWidth="1" min="8" max="26" width="8.71"/>
  </cols>
  <sheetData>
    <row r="1" ht="27.75" customHeight="1">
      <c r="A1" s="6" t="s">
        <v>147</v>
      </c>
      <c r="B1" s="7"/>
      <c r="C1" s="7"/>
      <c r="D1" s="7"/>
      <c r="E1" s="7"/>
      <c r="F1" s="7"/>
      <c r="G1" s="8"/>
    </row>
    <row r="2" ht="14.25" customHeight="1"/>
    <row r="3" ht="14.25" customHeight="1">
      <c r="A3" s="30" t="s">
        <v>148</v>
      </c>
    </row>
    <row r="4" ht="14.25" customHeight="1">
      <c r="A4" s="31" t="s">
        <v>149</v>
      </c>
    </row>
    <row r="5" ht="14.25" customHeight="1"/>
    <row r="6" ht="14.25" customHeight="1">
      <c r="A6" s="4" t="s">
        <v>150</v>
      </c>
      <c r="B6" s="15">
        <f>'Data Extraction'!B13</f>
        <v>209026000</v>
      </c>
    </row>
    <row r="7" ht="14.25" customHeight="1"/>
    <row r="8" ht="14.25" customHeight="1">
      <c r="A8" s="12" t="s">
        <v>151</v>
      </c>
      <c r="B8" s="12" t="s">
        <v>152</v>
      </c>
      <c r="C8" s="12" t="s">
        <v>153</v>
      </c>
      <c r="D8" s="12" t="s">
        <v>154</v>
      </c>
      <c r="E8" s="12" t="s">
        <v>155</v>
      </c>
      <c r="F8" s="12" t="s">
        <v>156</v>
      </c>
      <c r="G8" s="12" t="s">
        <v>157</v>
      </c>
    </row>
    <row r="9" ht="14.25" customHeight="1">
      <c r="A9" s="13" t="s">
        <v>158</v>
      </c>
      <c r="B9" s="15">
        <f>'Data Extraction'!B53</f>
        <v>35.67</v>
      </c>
      <c r="C9" s="32">
        <f>B6*(B9/100)</f>
        <v>74559574.2</v>
      </c>
      <c r="D9" s="15">
        <f>'Data Extraction'!B56</f>
        <v>84.69</v>
      </c>
      <c r="E9" s="32">
        <f>B6*(D9/100)</f>
        <v>177024119.4</v>
      </c>
      <c r="F9" s="32">
        <f t="shared" ref="F9:F12" si="1">C9-E9</f>
        <v>-102464545.2</v>
      </c>
      <c r="G9" s="32">
        <f>F9</f>
        <v>-102464545.2</v>
      </c>
    </row>
    <row r="10" ht="14.25" customHeight="1">
      <c r="A10" s="13" t="s">
        <v>159</v>
      </c>
      <c r="B10" s="15">
        <f>'Data Extraction'!B54</f>
        <v>9.74</v>
      </c>
      <c r="C10" s="32">
        <f>B6*(B10/100)</f>
        <v>20359132.4</v>
      </c>
      <c r="D10" s="15">
        <f>'Data Extraction'!B57</f>
        <v>0</v>
      </c>
      <c r="E10" s="32">
        <f>B6*D10</f>
        <v>0</v>
      </c>
      <c r="F10" s="32">
        <f t="shared" si="1"/>
        <v>20359132.4</v>
      </c>
      <c r="G10" s="32">
        <f t="shared" ref="G10:G11" si="2">G9+F10</f>
        <v>-82105412.8</v>
      </c>
    </row>
    <row r="11" ht="14.25" customHeight="1">
      <c r="A11" s="13" t="s">
        <v>160</v>
      </c>
      <c r="B11" s="15">
        <f>'Data Extraction'!B55</f>
        <v>51.92</v>
      </c>
      <c r="C11" s="32">
        <f>B6*(B11/100)</f>
        <v>108526299.2</v>
      </c>
      <c r="D11" s="15">
        <f>'Data Extraction'!B58</f>
        <v>0</v>
      </c>
      <c r="E11" s="32">
        <f>B6*D11</f>
        <v>0</v>
      </c>
      <c r="F11" s="32">
        <f t="shared" si="1"/>
        <v>108526299.2</v>
      </c>
      <c r="G11" s="32">
        <f t="shared" si="2"/>
        <v>26420886.4</v>
      </c>
    </row>
    <row r="12" ht="14.25" customHeight="1">
      <c r="A12" s="13" t="s">
        <v>161</v>
      </c>
      <c r="B12" s="15">
        <f>SUM(B9:B11)</f>
        <v>97.33</v>
      </c>
      <c r="C12" s="32">
        <f>B12*(B6/100)</f>
        <v>203445005.8</v>
      </c>
      <c r="D12" s="32">
        <f t="shared" ref="D12:E12" si="3">SUM(D9:D11)</f>
        <v>84.69</v>
      </c>
      <c r="E12" s="32">
        <f t="shared" si="3"/>
        <v>177024119.4</v>
      </c>
      <c r="F12" s="32">
        <f t="shared" si="1"/>
        <v>26420886.4</v>
      </c>
      <c r="G12" s="33"/>
    </row>
    <row r="13" ht="14.25" customHeight="1">
      <c r="A13" s="17"/>
    </row>
    <row r="14" ht="14.25" customHeight="1"/>
    <row r="15" ht="14.25" customHeight="1">
      <c r="A15" s="30" t="s">
        <v>162</v>
      </c>
    </row>
    <row r="16" ht="14.25" customHeight="1">
      <c r="A16" s="31" t="s">
        <v>163</v>
      </c>
    </row>
    <row r="17" ht="14.25" customHeight="1">
      <c r="A17" s="31" t="s">
        <v>164</v>
      </c>
    </row>
    <row r="18" ht="14.25" customHeight="1">
      <c r="A18" s="12" t="s">
        <v>165</v>
      </c>
      <c r="B18" s="12" t="s">
        <v>166</v>
      </c>
      <c r="C18" s="12" t="s">
        <v>167</v>
      </c>
      <c r="D18" s="12" t="s">
        <v>168</v>
      </c>
    </row>
    <row r="19" ht="14.25" customHeight="1">
      <c r="A19" s="13" t="s">
        <v>169</v>
      </c>
      <c r="B19" s="15">
        <f>G9</f>
        <v>-102464545.2</v>
      </c>
      <c r="C19" s="34">
        <v>0.01</v>
      </c>
      <c r="D19" s="32">
        <f t="shared" ref="D19:D20" si="4">B19*C19</f>
        <v>-1024645.452</v>
      </c>
    </row>
    <row r="20" ht="14.25" customHeight="1">
      <c r="A20" s="13" t="s">
        <v>170</v>
      </c>
      <c r="B20" s="15">
        <f>G9</f>
        <v>-102464545.2</v>
      </c>
      <c r="C20" s="34">
        <v>0.02</v>
      </c>
      <c r="D20" s="32">
        <f t="shared" si="4"/>
        <v>-2049290.904</v>
      </c>
    </row>
    <row r="21" ht="14.25" customHeight="1"/>
    <row r="22" ht="14.25" customHeight="1">
      <c r="A22" s="31" t="s">
        <v>171</v>
      </c>
    </row>
    <row r="23" ht="14.25" customHeight="1">
      <c r="A23" s="12" t="s">
        <v>28</v>
      </c>
      <c r="B23" s="12" t="s">
        <v>172</v>
      </c>
    </row>
    <row r="24" ht="14.25" customHeight="1">
      <c r="A24" s="13" t="s">
        <v>173</v>
      </c>
      <c r="B24" s="15">
        <f>C9</f>
        <v>74559574.2</v>
      </c>
    </row>
    <row r="25" ht="14.25" customHeight="1">
      <c r="A25" s="13" t="s">
        <v>174</v>
      </c>
      <c r="B25" s="35">
        <v>0.015</v>
      </c>
    </row>
    <row r="26" ht="14.25" customHeight="1">
      <c r="A26" s="13" t="s">
        <v>175</v>
      </c>
      <c r="B26" s="15">
        <f>E9</f>
        <v>177024119.4</v>
      </c>
    </row>
    <row r="27" ht="14.25" customHeight="1">
      <c r="A27" s="13" t="s">
        <v>176</v>
      </c>
      <c r="B27" s="36">
        <v>0.0075</v>
      </c>
    </row>
    <row r="28" ht="14.25" customHeight="1">
      <c r="A28" s="13" t="s">
        <v>177</v>
      </c>
      <c r="B28" s="32">
        <f>B24*B25</f>
        <v>1118393.613</v>
      </c>
    </row>
    <row r="29" ht="14.25" customHeight="1">
      <c r="A29" s="13" t="s">
        <v>178</v>
      </c>
      <c r="B29" s="32">
        <f>B26*B27</f>
        <v>1327680.896</v>
      </c>
    </row>
    <row r="30" ht="14.25" customHeight="1">
      <c r="A30" s="13" t="s">
        <v>168</v>
      </c>
      <c r="B30" s="32">
        <f>B28-B29</f>
        <v>-209287.2825</v>
      </c>
    </row>
    <row r="31" ht="14.25" customHeight="1"/>
    <row r="32" ht="14.25" customHeight="1"/>
    <row r="33" ht="14.25" customHeight="1">
      <c r="A33" s="30" t="s">
        <v>179</v>
      </c>
    </row>
    <row r="34" ht="14.25" customHeight="1">
      <c r="A34" s="31" t="s">
        <v>180</v>
      </c>
    </row>
    <row r="35" ht="14.25" customHeight="1">
      <c r="A35" s="12" t="s">
        <v>28</v>
      </c>
      <c r="B35" s="12" t="s">
        <v>181</v>
      </c>
      <c r="C35" s="12" t="s">
        <v>182</v>
      </c>
      <c r="D35" s="12" t="s">
        <v>183</v>
      </c>
    </row>
    <row r="36" ht="14.25" customHeight="1">
      <c r="A36" s="13" t="s">
        <v>95</v>
      </c>
      <c r="B36" s="15">
        <f>'Data Extraction'!B62</f>
        <v>-14.86</v>
      </c>
      <c r="C36" s="15">
        <f>'Data Extraction'!E62</f>
        <v>-1.01</v>
      </c>
      <c r="D36" s="32">
        <f t="shared" ref="D36:D42" si="5">B36-C36</f>
        <v>-13.85</v>
      </c>
    </row>
    <row r="37" ht="14.25" customHeight="1">
      <c r="A37" s="13" t="s">
        <v>97</v>
      </c>
      <c r="B37" s="15">
        <f>'Data Extraction'!B63</f>
        <v>-89.2</v>
      </c>
      <c r="C37" s="15">
        <f>'Data Extraction'!E63</f>
        <v>-7.67</v>
      </c>
      <c r="D37" s="32">
        <f t="shared" si="5"/>
        <v>-81.53</v>
      </c>
    </row>
    <row r="38" ht="14.25" customHeight="1">
      <c r="A38" s="13" t="s">
        <v>184</v>
      </c>
      <c r="B38" s="15">
        <f>'Data Extraction'!B64</f>
        <v>-104.06</v>
      </c>
      <c r="C38" s="15">
        <f>'Data Extraction'!E64</f>
        <v>-0.9</v>
      </c>
      <c r="D38" s="32">
        <f t="shared" si="5"/>
        <v>-103.16</v>
      </c>
    </row>
    <row r="39" ht="14.25" customHeight="1">
      <c r="A39" s="13" t="s">
        <v>136</v>
      </c>
      <c r="B39" s="15">
        <f>'Data Extraction'!B105</f>
        <v>16995000</v>
      </c>
      <c r="C39" s="15">
        <f>'Data Extraction'!E105</f>
        <v>14622000</v>
      </c>
      <c r="D39" s="32">
        <f t="shared" si="5"/>
        <v>2373000</v>
      </c>
    </row>
    <row r="40" ht="14.25" customHeight="1">
      <c r="A40" s="13" t="s">
        <v>185</v>
      </c>
      <c r="B40" s="32">
        <f t="shared" ref="B40:B42" si="6">B36/100*$B$39</f>
        <v>-2525457</v>
      </c>
      <c r="C40" s="32">
        <f t="shared" ref="C40:C42" si="7">C36/100*$C$39</f>
        <v>-147682.2</v>
      </c>
      <c r="D40" s="32">
        <f t="shared" si="5"/>
        <v>-2377774.8</v>
      </c>
    </row>
    <row r="41" ht="14.25" customHeight="1">
      <c r="A41" s="13" t="s">
        <v>186</v>
      </c>
      <c r="B41" s="32">
        <f t="shared" si="6"/>
        <v>-15159540</v>
      </c>
      <c r="C41" s="32">
        <f t="shared" si="7"/>
        <v>-1121507.4</v>
      </c>
      <c r="D41" s="32">
        <f t="shared" si="5"/>
        <v>-14038032.6</v>
      </c>
    </row>
    <row r="42" ht="14.25" customHeight="1">
      <c r="A42" s="13" t="s">
        <v>187</v>
      </c>
      <c r="B42" s="32">
        <f t="shared" si="6"/>
        <v>-17684997</v>
      </c>
      <c r="C42" s="32">
        <f t="shared" si="7"/>
        <v>-131598</v>
      </c>
      <c r="D42" s="32">
        <f t="shared" si="5"/>
        <v>-17553399</v>
      </c>
    </row>
    <row r="43" ht="14.25" customHeight="1">
      <c r="A43" s="17"/>
    </row>
    <row r="44" ht="14.25" customHeight="1"/>
    <row r="45" ht="14.25" customHeight="1">
      <c r="A45" s="30" t="s">
        <v>188</v>
      </c>
    </row>
    <row r="46" ht="14.25" customHeight="1">
      <c r="A46" s="31" t="s">
        <v>189</v>
      </c>
    </row>
    <row r="47" ht="14.25" customHeight="1">
      <c r="A47" s="12" t="s">
        <v>190</v>
      </c>
      <c r="B47" s="12" t="s">
        <v>172</v>
      </c>
      <c r="C47" s="12" t="s">
        <v>191</v>
      </c>
    </row>
    <row r="48" ht="14.25" customHeight="1">
      <c r="A48" s="13" t="s">
        <v>192</v>
      </c>
      <c r="B48" s="34">
        <v>7.43</v>
      </c>
      <c r="C48" s="17" t="s">
        <v>193</v>
      </c>
    </row>
    <row r="49" ht="14.25" customHeight="1">
      <c r="A49" s="13" t="s">
        <v>194</v>
      </c>
      <c r="B49" s="34">
        <v>1.12</v>
      </c>
      <c r="C49" s="17" t="s">
        <v>193</v>
      </c>
    </row>
    <row r="50" ht="14.25" customHeight="1">
      <c r="A50" s="13" t="s">
        <v>195</v>
      </c>
      <c r="B50" s="32">
        <f>'Data Extraction'!B24/'Data Extraction'!B13</f>
        <v>0.9260570455</v>
      </c>
      <c r="C50" s="17" t="s">
        <v>196</v>
      </c>
    </row>
    <row r="51" ht="14.25" customHeight="1">
      <c r="A51" s="13" t="s">
        <v>197</v>
      </c>
      <c r="B51" s="15">
        <f>'Data Extraction'!B13</f>
        <v>209026000</v>
      </c>
      <c r="C51" s="17" t="s">
        <v>198</v>
      </c>
    </row>
    <row r="52" ht="14.25" customHeight="1">
      <c r="A52" s="13" t="s">
        <v>199</v>
      </c>
      <c r="B52" s="37">
        <f>'Data Extraction'!B43/100</f>
        <v>0.022</v>
      </c>
      <c r="C52" s="17" t="s">
        <v>200</v>
      </c>
    </row>
    <row r="53" ht="14.25" customHeight="1">
      <c r="A53" s="13" t="s">
        <v>201</v>
      </c>
      <c r="B53" s="32">
        <f>B48-(B50*B49)</f>
        <v>6.392816109</v>
      </c>
      <c r="C53" s="17" t="s">
        <v>202</v>
      </c>
    </row>
    <row r="54" ht="14.25" customHeight="1">
      <c r="B54" s="38"/>
    </row>
    <row r="55" ht="14.25" customHeight="1">
      <c r="A55" s="39" t="s">
        <v>203</v>
      </c>
      <c r="B55" s="34">
        <v>0.02</v>
      </c>
      <c r="C55" s="17" t="s">
        <v>193</v>
      </c>
    </row>
    <row r="56" ht="14.25" customHeight="1">
      <c r="A56" s="13" t="s">
        <v>204</v>
      </c>
      <c r="B56" s="32">
        <f>-B53*B51*(B55/(1+B52))</f>
        <v>-26149995.69</v>
      </c>
      <c r="C56" s="17" t="s">
        <v>202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3" width="22.0"/>
    <col customWidth="1" min="4" max="4" width="75.43"/>
    <col customWidth="1" min="5" max="5" width="22.0"/>
    <col customWidth="1" min="6" max="26" width="8.71"/>
  </cols>
  <sheetData>
    <row r="1" ht="27.75" customHeight="1">
      <c r="A1" s="6" t="s">
        <v>205</v>
      </c>
      <c r="B1" s="7"/>
      <c r="C1" s="7"/>
      <c r="D1" s="8"/>
    </row>
    <row r="2" ht="14.25" customHeight="1"/>
    <row r="3" ht="14.25" customHeight="1">
      <c r="A3" s="40" t="s">
        <v>206</v>
      </c>
    </row>
    <row r="4" ht="14.25" customHeight="1">
      <c r="A4" s="31"/>
    </row>
    <row r="5" ht="14.25" customHeight="1">
      <c r="A5" s="4" t="s">
        <v>207</v>
      </c>
      <c r="B5" s="15">
        <f>'Data Extraction'!B16</f>
        <v>175378000</v>
      </c>
    </row>
    <row r="6" ht="14.25" customHeight="1">
      <c r="A6" s="4" t="s">
        <v>150</v>
      </c>
      <c r="B6" s="15">
        <f>'Data Extraction'!B13</f>
        <v>209026000</v>
      </c>
    </row>
    <row r="7" ht="14.25" customHeight="1"/>
    <row r="8" ht="14.25" customHeight="1">
      <c r="A8" s="12" t="s">
        <v>208</v>
      </c>
      <c r="B8" s="12" t="s">
        <v>209</v>
      </c>
      <c r="C8" s="12" t="s">
        <v>210</v>
      </c>
      <c r="D8" s="12" t="s">
        <v>211</v>
      </c>
    </row>
    <row r="9" ht="14.25" customHeight="1">
      <c r="A9" s="13" t="s">
        <v>46</v>
      </c>
      <c r="B9" s="15">
        <f>'Data Extraction'!B17</f>
        <v>10432000</v>
      </c>
      <c r="C9" s="32">
        <f t="shared" ref="C9:C15" si="1">B9/$B$5*100</f>
        <v>5.948294541</v>
      </c>
      <c r="D9" s="32">
        <f t="shared" ref="D9:D15" si="2">B9/$B$6*100</f>
        <v>4.990766699</v>
      </c>
    </row>
    <row r="10" ht="14.25" customHeight="1">
      <c r="A10" s="13" t="s">
        <v>212</v>
      </c>
      <c r="B10" s="15">
        <f>'Data Extraction'!B18</f>
        <v>55000</v>
      </c>
      <c r="C10" s="32">
        <f t="shared" si="1"/>
        <v>0.03136083203</v>
      </c>
      <c r="D10" s="32">
        <f t="shared" si="2"/>
        <v>0.02631251615</v>
      </c>
    </row>
    <row r="11" ht="14.25" customHeight="1">
      <c r="A11" s="13" t="s">
        <v>48</v>
      </c>
      <c r="B11" s="15">
        <f>'Data Extraction'!B19</f>
        <v>149444000</v>
      </c>
      <c r="C11" s="32">
        <f t="shared" si="1"/>
        <v>85.2125124</v>
      </c>
      <c r="D11" s="32">
        <f t="shared" si="2"/>
        <v>71.49541205</v>
      </c>
    </row>
    <row r="12" ht="14.25" customHeight="1">
      <c r="A12" s="13" t="s">
        <v>49</v>
      </c>
      <c r="B12" s="15">
        <f>'Data Extraction'!B20</f>
        <v>79000</v>
      </c>
      <c r="C12" s="32">
        <f t="shared" si="1"/>
        <v>0.04504555874</v>
      </c>
      <c r="D12" s="32">
        <f t="shared" si="2"/>
        <v>0.03779434137</v>
      </c>
    </row>
    <row r="13" ht="14.25" customHeight="1">
      <c r="A13" s="13" t="s">
        <v>50</v>
      </c>
      <c r="B13" s="15">
        <f>'Data Extraction'!B21</f>
        <v>65000</v>
      </c>
      <c r="C13" s="32">
        <f t="shared" si="1"/>
        <v>0.03706280149</v>
      </c>
      <c r="D13" s="32">
        <f t="shared" si="2"/>
        <v>0.03109660999</v>
      </c>
    </row>
    <row r="14" ht="14.25" customHeight="1">
      <c r="A14" s="13" t="s">
        <v>51</v>
      </c>
      <c r="B14" s="15">
        <f>'Data Extraction'!B22</f>
        <v>1404000</v>
      </c>
      <c r="C14" s="32">
        <f t="shared" si="1"/>
        <v>0.8005565122</v>
      </c>
      <c r="D14" s="32">
        <f t="shared" si="2"/>
        <v>0.6716867758</v>
      </c>
    </row>
    <row r="15" ht="14.25" customHeight="1">
      <c r="A15" s="13" t="s">
        <v>52</v>
      </c>
      <c r="B15" s="15">
        <f>'Data Extraction'!B23</f>
        <v>13899000</v>
      </c>
      <c r="C15" s="32">
        <f t="shared" si="1"/>
        <v>7.925167353</v>
      </c>
      <c r="D15" s="32">
        <f t="shared" si="2"/>
        <v>6.649412035</v>
      </c>
    </row>
    <row r="16" ht="14.25" customHeight="1">
      <c r="C16" s="41"/>
    </row>
    <row r="17" ht="14.25" customHeight="1">
      <c r="A17" s="13" t="s">
        <v>213</v>
      </c>
      <c r="B17" s="15">
        <f>'Data Extraction'!B33</f>
        <v>151592000</v>
      </c>
      <c r="C17" s="32">
        <f t="shared" ref="C17:C19" si="3">B17/$B$5*100</f>
        <v>86.43729544</v>
      </c>
      <c r="D17" s="32">
        <f t="shared" ref="D17:D19" si="4">B17/$B$6*100</f>
        <v>72.52303541</v>
      </c>
    </row>
    <row r="18" ht="14.25" customHeight="1">
      <c r="A18" s="13" t="s">
        <v>214</v>
      </c>
      <c r="B18" s="32">
        <f>B5-B17</f>
        <v>23786000</v>
      </c>
      <c r="C18" s="32">
        <f t="shared" si="3"/>
        <v>13.56270456</v>
      </c>
      <c r="D18" s="32">
        <f t="shared" si="4"/>
        <v>11.37944562</v>
      </c>
    </row>
    <row r="19" ht="14.25" customHeight="1">
      <c r="A19" s="13" t="s">
        <v>215</v>
      </c>
      <c r="B19" s="15">
        <f>'Data Extraction'!B32</f>
        <v>83020000</v>
      </c>
      <c r="C19" s="32">
        <f t="shared" si="3"/>
        <v>47.33775046</v>
      </c>
      <c r="D19" s="32">
        <f t="shared" si="4"/>
        <v>39.7175471</v>
      </c>
    </row>
    <row r="20" ht="14.25" customHeight="1"/>
    <row r="21" ht="14.25" customHeight="1">
      <c r="A21" s="40" t="s">
        <v>216</v>
      </c>
    </row>
    <row r="22" ht="14.25" customHeight="1">
      <c r="A22" s="31" t="s">
        <v>217</v>
      </c>
    </row>
    <row r="23" ht="60.0" customHeight="1">
      <c r="A23" s="12" t="s">
        <v>218</v>
      </c>
      <c r="B23" s="12" t="s">
        <v>64</v>
      </c>
      <c r="C23" s="12" t="s">
        <v>112</v>
      </c>
      <c r="D23" s="12" t="s">
        <v>219</v>
      </c>
    </row>
    <row r="24" ht="14.25" customHeight="1">
      <c r="A24" s="13" t="s">
        <v>100</v>
      </c>
      <c r="B24" s="15">
        <f>'Data Extraction'!B68</f>
        <v>9.34</v>
      </c>
      <c r="C24" s="15">
        <f>'Data Extraction'!C68</f>
        <v>1.36</v>
      </c>
      <c r="D24" s="42" t="s">
        <v>220</v>
      </c>
    </row>
    <row r="25" ht="14.25" customHeight="1">
      <c r="A25" s="13" t="s">
        <v>101</v>
      </c>
      <c r="B25" s="15">
        <f>'Data Extraction'!B69</f>
        <v>41.97</v>
      </c>
      <c r="C25" s="15">
        <f>'Data Extraction'!C69</f>
        <v>61.72</v>
      </c>
      <c r="D25" s="42" t="s">
        <v>221</v>
      </c>
    </row>
    <row r="26" ht="14.25" customHeight="1">
      <c r="A26" s="13" t="s">
        <v>102</v>
      </c>
      <c r="B26" s="15">
        <f>'Data Extraction'!B70</f>
        <v>55.19</v>
      </c>
      <c r="C26" s="15">
        <f>'Data Extraction'!C70</f>
        <v>37.99</v>
      </c>
      <c r="D26" s="42" t="s">
        <v>222</v>
      </c>
    </row>
    <row r="27" ht="14.25" customHeight="1">
      <c r="A27" s="13" t="s">
        <v>109</v>
      </c>
      <c r="B27" s="15">
        <f>'Data Extraction'!B76</f>
        <v>74.99</v>
      </c>
      <c r="C27" s="15">
        <f>'Data Extraction'!C76</f>
        <v>45.87</v>
      </c>
      <c r="D27" s="42" t="s">
        <v>223</v>
      </c>
    </row>
    <row r="28" ht="14.25" customHeight="1">
      <c r="A28" s="13" t="s">
        <v>110</v>
      </c>
      <c r="B28" s="15">
        <f>'Data Extraction'!B77</f>
        <v>14.1</v>
      </c>
      <c r="C28" s="15">
        <f>'Data Extraction'!C77</f>
        <v>14.63</v>
      </c>
      <c r="D28" s="42" t="s">
        <v>224</v>
      </c>
    </row>
    <row r="29" ht="14.25" customHeight="1">
      <c r="A29" s="39"/>
      <c r="B29" s="27"/>
      <c r="C29" s="27"/>
      <c r="D29" s="43"/>
    </row>
    <row r="30" ht="14.25" customHeight="1">
      <c r="A30" s="31" t="s">
        <v>225</v>
      </c>
    </row>
    <row r="31" ht="14.25" customHeight="1">
      <c r="A31" s="31" t="s">
        <v>226</v>
      </c>
    </row>
    <row r="32" ht="14.25" customHeight="1">
      <c r="A32" s="31" t="s">
        <v>227</v>
      </c>
    </row>
    <row r="33" ht="14.25" customHeight="1">
      <c r="A33" s="12" t="s">
        <v>28</v>
      </c>
      <c r="B33" s="12" t="s">
        <v>209</v>
      </c>
    </row>
    <row r="34" ht="14.25" customHeight="1">
      <c r="A34" s="13" t="s">
        <v>228</v>
      </c>
      <c r="B34" s="32">
        <f>B26/100*B6</f>
        <v>115361449.4</v>
      </c>
      <c r="C34" s="17"/>
    </row>
    <row r="35" ht="14.25" customHeight="1">
      <c r="A35" s="14" t="s">
        <v>229</v>
      </c>
      <c r="B35" s="32">
        <f>'Data Extraction'!B71/100*$B$6</f>
        <v>1191448.2</v>
      </c>
    </row>
    <row r="36" ht="14.25" customHeight="1">
      <c r="A36" s="14" t="s">
        <v>230</v>
      </c>
      <c r="B36" s="32">
        <f>'Data Extraction'!B72/100*$B$6</f>
        <v>11329209.2</v>
      </c>
    </row>
    <row r="37" ht="14.25" customHeight="1">
      <c r="A37" s="14" t="s">
        <v>231</v>
      </c>
      <c r="B37" s="32">
        <f>'Data Extraction'!B73/100*$B$6</f>
        <v>25981931.8</v>
      </c>
    </row>
    <row r="38" ht="14.25" customHeight="1">
      <c r="A38" s="14" t="s">
        <v>232</v>
      </c>
      <c r="B38" s="32">
        <f>'Data Extraction'!B74/100*$B$6</f>
        <v>76169074.4</v>
      </c>
    </row>
    <row r="39" ht="14.25" customHeight="1">
      <c r="A39" s="14" t="s">
        <v>233</v>
      </c>
      <c r="B39" s="32">
        <f>'Data Extraction'!B75/100*$B$6</f>
        <v>710688.4</v>
      </c>
    </row>
    <row r="40" ht="14.25" customHeight="1">
      <c r="A40" s="44" t="s">
        <v>234</v>
      </c>
      <c r="B40" s="32">
        <f>B35+B36+B39</f>
        <v>13231345.8</v>
      </c>
    </row>
    <row r="41" ht="14.25" customHeight="1">
      <c r="A41" s="44" t="s">
        <v>235</v>
      </c>
      <c r="B41" s="32">
        <f>B40+B37</f>
        <v>39213277.6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5" width="22.0"/>
    <col customWidth="1" min="6" max="26" width="8.71"/>
  </cols>
  <sheetData>
    <row r="1" ht="27.75" customHeight="1">
      <c r="A1" s="6" t="s">
        <v>236</v>
      </c>
      <c r="B1" s="7"/>
      <c r="C1" s="7"/>
      <c r="D1" s="8"/>
    </row>
    <row r="2" ht="14.25" customHeight="1"/>
    <row r="3" ht="14.25" customHeight="1">
      <c r="A3" s="45" t="s">
        <v>237</v>
      </c>
    </row>
    <row r="4" ht="14.25" customHeight="1">
      <c r="A4" s="12" t="s">
        <v>238</v>
      </c>
      <c r="B4" s="12" t="s">
        <v>82</v>
      </c>
      <c r="C4" s="12" t="s">
        <v>83</v>
      </c>
      <c r="D4" s="12" t="s">
        <v>239</v>
      </c>
    </row>
    <row r="5" ht="14.25" customHeight="1">
      <c r="A5" s="13" t="s">
        <v>240</v>
      </c>
      <c r="B5" s="46">
        <v>17.02</v>
      </c>
      <c r="C5" s="46">
        <v>36.28</v>
      </c>
      <c r="D5" s="32">
        <f t="shared" ref="D5:D9" si="1">B5-C5</f>
        <v>-19.26</v>
      </c>
    </row>
    <row r="6" ht="14.25" customHeight="1">
      <c r="A6" s="13" t="s">
        <v>241</v>
      </c>
      <c r="B6" s="46">
        <v>25.01</v>
      </c>
      <c r="C6" s="46">
        <v>22.91</v>
      </c>
      <c r="D6" s="32">
        <f t="shared" si="1"/>
        <v>2.1</v>
      </c>
      <c r="F6" s="47" t="s">
        <v>242</v>
      </c>
    </row>
    <row r="7" ht="14.25" customHeight="1">
      <c r="A7" s="13" t="s">
        <v>243</v>
      </c>
      <c r="B7" s="46">
        <v>0.71</v>
      </c>
      <c r="C7" s="46">
        <v>14.78</v>
      </c>
      <c r="D7" s="32">
        <f t="shared" si="1"/>
        <v>-14.07</v>
      </c>
      <c r="F7" s="47" t="s">
        <v>244</v>
      </c>
    </row>
    <row r="8" ht="14.25" customHeight="1">
      <c r="A8" s="13" t="s">
        <v>245</v>
      </c>
      <c r="B8" s="46">
        <v>56.17</v>
      </c>
      <c r="C8" s="46">
        <v>18.84</v>
      </c>
      <c r="D8" s="32">
        <f t="shared" si="1"/>
        <v>37.33</v>
      </c>
      <c r="F8" s="47" t="s">
        <v>246</v>
      </c>
    </row>
    <row r="9" ht="14.25" customHeight="1">
      <c r="A9" s="13" t="s">
        <v>247</v>
      </c>
      <c r="B9" s="46">
        <v>10.03</v>
      </c>
      <c r="C9" s="46">
        <v>2.68</v>
      </c>
      <c r="D9" s="32">
        <f t="shared" si="1"/>
        <v>7.35</v>
      </c>
      <c r="F9" s="47" t="s">
        <v>248</v>
      </c>
    </row>
    <row r="10" ht="14.25" customHeight="1"/>
    <row r="11" ht="14.25" customHeight="1">
      <c r="A11" s="45" t="s">
        <v>249</v>
      </c>
    </row>
    <row r="12" ht="14.25" customHeight="1">
      <c r="A12" s="12" t="s">
        <v>250</v>
      </c>
      <c r="B12" s="12" t="s">
        <v>251</v>
      </c>
      <c r="C12" s="12" t="s">
        <v>112</v>
      </c>
      <c r="D12" s="12" t="s">
        <v>252</v>
      </c>
    </row>
    <row r="13" ht="14.25" customHeight="1">
      <c r="A13" s="13" t="s">
        <v>121</v>
      </c>
      <c r="B13" s="46">
        <v>0.1</v>
      </c>
      <c r="C13" s="46">
        <v>0.24</v>
      </c>
      <c r="D13" s="32">
        <f t="shared" ref="D13:D19" si="2">B13-C13</f>
        <v>-0.14</v>
      </c>
    </row>
    <row r="14" ht="14.25" customHeight="1">
      <c r="A14" s="13" t="s">
        <v>122</v>
      </c>
      <c r="B14" s="46">
        <v>0.86</v>
      </c>
      <c r="C14" s="46">
        <v>1.24</v>
      </c>
      <c r="D14" s="32">
        <f t="shared" si="2"/>
        <v>-0.38</v>
      </c>
    </row>
    <row r="15" ht="14.25" customHeight="1">
      <c r="A15" s="13" t="s">
        <v>123</v>
      </c>
      <c r="B15" s="46">
        <v>4.78</v>
      </c>
      <c r="C15" s="46">
        <v>3.49</v>
      </c>
      <c r="D15" s="32">
        <f t="shared" si="2"/>
        <v>1.29</v>
      </c>
    </row>
    <row r="16" ht="14.25" customHeight="1">
      <c r="A16" s="13" t="s">
        <v>124</v>
      </c>
      <c r="B16" s="46">
        <v>42.15</v>
      </c>
      <c r="C16" s="46">
        <v>103.38</v>
      </c>
      <c r="D16" s="32">
        <f t="shared" si="2"/>
        <v>-61.23</v>
      </c>
    </row>
    <row r="17" ht="14.25" customHeight="1">
      <c r="A17" s="13" t="s">
        <v>125</v>
      </c>
      <c r="B17" s="46">
        <v>0.19</v>
      </c>
      <c r="C17" s="46">
        <v>0.61</v>
      </c>
      <c r="D17" s="32">
        <f t="shared" si="2"/>
        <v>-0.42</v>
      </c>
    </row>
    <row r="18" ht="14.25" customHeight="1">
      <c r="A18" s="13" t="s">
        <v>126</v>
      </c>
      <c r="B18" s="46">
        <v>0.14</v>
      </c>
      <c r="C18" s="46">
        <v>0.49</v>
      </c>
      <c r="D18" s="32">
        <f t="shared" si="2"/>
        <v>-0.35</v>
      </c>
    </row>
    <row r="19" ht="14.25" customHeight="1">
      <c r="A19" s="13" t="s">
        <v>127</v>
      </c>
      <c r="B19" s="46">
        <v>0.19</v>
      </c>
      <c r="C19" s="46">
        <v>0.6</v>
      </c>
      <c r="D19" s="32">
        <f t="shared" si="2"/>
        <v>-0.41</v>
      </c>
    </row>
    <row r="20" ht="14.25" customHeight="1"/>
    <row r="21" ht="14.25" customHeight="1">
      <c r="A21" s="45" t="s">
        <v>253</v>
      </c>
    </row>
    <row r="22" ht="14.25" customHeight="1">
      <c r="A22" s="48" t="s">
        <v>254</v>
      </c>
    </row>
    <row r="23" ht="14.25" customHeight="1">
      <c r="A23" s="31" t="s">
        <v>255</v>
      </c>
    </row>
    <row r="24" ht="14.25" customHeight="1">
      <c r="A24" s="31" t="s">
        <v>256</v>
      </c>
    </row>
    <row r="25" ht="14.25" customHeight="1">
      <c r="A25" s="12" t="s">
        <v>28</v>
      </c>
      <c r="B25" s="12" t="s">
        <v>209</v>
      </c>
      <c r="C25" s="24"/>
    </row>
    <row r="26" ht="14.25" customHeight="1">
      <c r="A26" s="13" t="s">
        <v>257</v>
      </c>
      <c r="B26" s="26">
        <f>'Data Extraction'!B96</f>
        <v>139000</v>
      </c>
      <c r="C26" s="17"/>
    </row>
    <row r="27" ht="14.25" customHeight="1">
      <c r="A27" s="13" t="s">
        <v>258</v>
      </c>
      <c r="B27" s="18">
        <f>'Data Extraction'!B12</f>
        <v>0</v>
      </c>
      <c r="C27" s="17"/>
    </row>
    <row r="28" ht="14.25" customHeight="1">
      <c r="A28" s="13" t="s">
        <v>259</v>
      </c>
      <c r="B28" s="32">
        <f>B26+B27</f>
        <v>139000</v>
      </c>
      <c r="C28" s="17"/>
    </row>
    <row r="29" ht="14.25" customHeight="1">
      <c r="A29" s="14" t="s">
        <v>260</v>
      </c>
      <c r="B29" s="18">
        <f>'Data Extraction'!B25</f>
        <v>15456000</v>
      </c>
      <c r="C29" s="17"/>
    </row>
    <row r="30" ht="14.25" customHeight="1">
      <c r="A30" s="13" t="s">
        <v>261</v>
      </c>
      <c r="B30" s="18">
        <f>'Data Extraction'!B29</f>
        <v>285000</v>
      </c>
      <c r="C30" s="17"/>
    </row>
    <row r="31" ht="14.25" customHeight="1">
      <c r="A31" s="13" t="s">
        <v>262</v>
      </c>
      <c r="B31" s="32">
        <f>B29-B30</f>
        <v>15171000</v>
      </c>
      <c r="C31" s="17"/>
    </row>
    <row r="32" ht="14.25" customHeight="1">
      <c r="A32" s="13" t="s">
        <v>263</v>
      </c>
      <c r="B32" s="18">
        <f>'Data Extraction'!B7</f>
        <v>636000</v>
      </c>
      <c r="C32" s="17"/>
    </row>
    <row r="33" ht="14.25" customHeight="1">
      <c r="A33" s="13" t="s">
        <v>264</v>
      </c>
      <c r="B33" s="32">
        <f>B31+B32</f>
        <v>15807000</v>
      </c>
      <c r="C33" s="17"/>
    </row>
    <row r="34" ht="14.25" customHeight="1">
      <c r="A34" s="13" t="s">
        <v>265</v>
      </c>
      <c r="B34" s="32">
        <f>B28/B33*100</f>
        <v>0.8793572468</v>
      </c>
      <c r="C34" s="17"/>
    </row>
    <row r="35" ht="14.25" customHeight="1"/>
    <row r="36" ht="14.25" customHeight="1">
      <c r="A36" s="45" t="s">
        <v>266</v>
      </c>
    </row>
    <row r="37" ht="14.25" customHeight="1">
      <c r="A37" s="31" t="s">
        <v>267</v>
      </c>
    </row>
    <row r="38" ht="14.25" customHeight="1">
      <c r="A38" s="31" t="s">
        <v>268</v>
      </c>
    </row>
    <row r="39" ht="14.25" customHeight="1">
      <c r="A39" s="31" t="s">
        <v>269</v>
      </c>
    </row>
    <row r="40" ht="14.25" customHeight="1">
      <c r="A40" s="31" t="s">
        <v>270</v>
      </c>
    </row>
    <row r="41" ht="14.25" customHeight="1">
      <c r="A41" s="31" t="s">
        <v>271</v>
      </c>
    </row>
    <row r="42" ht="14.25" customHeight="1">
      <c r="A42" s="31" t="s">
        <v>272</v>
      </c>
    </row>
    <row r="43" ht="14.25" customHeight="1">
      <c r="A43" s="12" t="s">
        <v>190</v>
      </c>
      <c r="B43" s="12" t="s">
        <v>172</v>
      </c>
      <c r="C43" s="24"/>
    </row>
    <row r="44" ht="14.25" customHeight="1">
      <c r="A44" s="13" t="s">
        <v>273</v>
      </c>
      <c r="B44" s="18">
        <f>'Data Extraction'!B6</f>
        <v>19094000</v>
      </c>
      <c r="C44" s="17"/>
    </row>
    <row r="45" ht="14.25" customHeight="1">
      <c r="A45" s="13" t="s">
        <v>274</v>
      </c>
      <c r="B45" s="18">
        <f>'Data Extraction'!B46</f>
        <v>6.66</v>
      </c>
      <c r="C45" s="17"/>
    </row>
    <row r="46" ht="14.25" customHeight="1">
      <c r="A46" s="13" t="s">
        <v>275</v>
      </c>
      <c r="B46" s="49">
        <v>0.0045</v>
      </c>
      <c r="C46" s="17"/>
    </row>
    <row r="47" ht="14.25" customHeight="1">
      <c r="A47" s="13" t="s">
        <v>276</v>
      </c>
      <c r="B47" s="49">
        <v>5.984</v>
      </c>
      <c r="C47" s="17"/>
    </row>
    <row r="48" ht="14.25" customHeight="1">
      <c r="A48" s="13" t="s">
        <v>277</v>
      </c>
      <c r="B48" s="18">
        <f>'Data Extraction'!B49</f>
        <v>0.6</v>
      </c>
      <c r="C48" s="17"/>
    </row>
    <row r="49" ht="14.25" customHeight="1">
      <c r="A49" s="13" t="s">
        <v>278</v>
      </c>
      <c r="B49" s="49">
        <v>2.98</v>
      </c>
      <c r="C49" s="17"/>
    </row>
    <row r="50" ht="14.25" customHeight="1">
      <c r="A50" s="13" t="s">
        <v>279</v>
      </c>
      <c r="B50" s="32">
        <f>B44*(B45/100+B46-B48/100)</f>
        <v>1243019.4</v>
      </c>
      <c r="C50" s="17"/>
    </row>
    <row r="51" ht="14.25" customHeight="1">
      <c r="A51" s="13" t="s">
        <v>280</v>
      </c>
      <c r="B51" s="32">
        <f>B47*B44*(B49/100)/(1+B48/100)</f>
        <v>3384595.607</v>
      </c>
      <c r="C51" s="17"/>
    </row>
    <row r="52" ht="14.25" customHeight="1">
      <c r="A52" s="13" t="s">
        <v>281</v>
      </c>
      <c r="B52" s="32">
        <f>B50/B51*100</f>
        <v>36.72578778</v>
      </c>
      <c r="C52" s="17"/>
    </row>
    <row r="53" ht="14.25" customHeight="1">
      <c r="A53" s="13" t="s">
        <v>282</v>
      </c>
      <c r="B53" s="34">
        <f>B48+2.75</f>
        <v>3.35</v>
      </c>
      <c r="C53" s="17"/>
    </row>
    <row r="54" ht="14.25" customHeight="1">
      <c r="A54" s="13" t="s">
        <v>283</v>
      </c>
      <c r="B54" s="50" t="s">
        <v>284</v>
      </c>
      <c r="C54" s="17" t="s">
        <v>285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5" width="22.0"/>
    <col customWidth="1" min="6" max="26" width="8.71"/>
  </cols>
  <sheetData>
    <row r="1" ht="27.75" customHeight="1">
      <c r="A1" s="6" t="s">
        <v>286</v>
      </c>
      <c r="B1" s="7"/>
      <c r="C1" s="7"/>
      <c r="D1" s="8"/>
    </row>
    <row r="2" ht="14.25" customHeight="1"/>
    <row r="3" ht="14.25" customHeight="1">
      <c r="A3" s="51" t="s">
        <v>287</v>
      </c>
    </row>
    <row r="4" ht="14.25" customHeight="1">
      <c r="A4" s="31" t="s">
        <v>288</v>
      </c>
    </row>
    <row r="5" ht="14.25" customHeight="1"/>
    <row r="6" ht="14.25" customHeight="1">
      <c r="A6" s="12" t="s">
        <v>289</v>
      </c>
      <c r="B6" s="12" t="s">
        <v>172</v>
      </c>
      <c r="C6" s="12" t="s">
        <v>290</v>
      </c>
      <c r="D6" s="12" t="s">
        <v>291</v>
      </c>
    </row>
    <row r="7" ht="14.25" customHeight="1">
      <c r="A7" s="13" t="s">
        <v>292</v>
      </c>
      <c r="B7" s="15">
        <f>'Data Extraction'!B101</f>
        <v>15.2639</v>
      </c>
      <c r="C7" s="52">
        <v>0.065</v>
      </c>
      <c r="D7" s="50" t="s">
        <v>293</v>
      </c>
    </row>
    <row r="8" ht="14.25" customHeight="1">
      <c r="A8" s="13" t="s">
        <v>133</v>
      </c>
      <c r="B8" s="15">
        <f>'Data Extraction'!B102</f>
        <v>15.26</v>
      </c>
      <c r="C8" s="52">
        <v>0.08</v>
      </c>
      <c r="D8" s="50" t="s">
        <v>293</v>
      </c>
    </row>
    <row r="9" ht="14.25" customHeight="1">
      <c r="A9" s="13" t="s">
        <v>134</v>
      </c>
      <c r="B9" s="15">
        <f>'Data Extraction'!B103</f>
        <v>16.0507</v>
      </c>
      <c r="C9" s="52">
        <v>0.1</v>
      </c>
      <c r="D9" s="50" t="s">
        <v>293</v>
      </c>
    </row>
    <row r="10" ht="14.25" customHeight="1">
      <c r="A10" s="13" t="s">
        <v>131</v>
      </c>
      <c r="B10" s="15">
        <f>'Data Extraction'!B100</f>
        <v>7.9626</v>
      </c>
      <c r="C10" s="52">
        <v>0.05</v>
      </c>
      <c r="D10" s="50" t="s">
        <v>293</v>
      </c>
    </row>
    <row r="11" ht="14.25" customHeight="1"/>
    <row r="12" ht="14.25" customHeight="1">
      <c r="A12" s="13" t="s">
        <v>294</v>
      </c>
      <c r="B12" s="50" t="s">
        <v>295</v>
      </c>
      <c r="C12" s="17" t="s">
        <v>296</v>
      </c>
    </row>
    <row r="13" ht="14.25" customHeight="1"/>
    <row r="14" ht="14.25" customHeight="1">
      <c r="A14" s="51" t="s">
        <v>297</v>
      </c>
    </row>
    <row r="15" ht="14.25" customHeight="1">
      <c r="A15" s="31" t="s">
        <v>298</v>
      </c>
    </row>
    <row r="16" ht="14.25" customHeight="1">
      <c r="A16" s="12" t="s">
        <v>299</v>
      </c>
      <c r="B16" s="12" t="s">
        <v>300</v>
      </c>
      <c r="C16" s="12" t="s">
        <v>301</v>
      </c>
    </row>
    <row r="17" ht="14.25" customHeight="1">
      <c r="A17" s="13" t="s">
        <v>302</v>
      </c>
      <c r="B17" s="15">
        <f>'Data Extraction'!B106</f>
        <v>15750200</v>
      </c>
      <c r="C17" s="32">
        <f t="shared" ref="C17:C24" si="1">B17/$B$24*100</f>
        <v>14.14591211</v>
      </c>
    </row>
    <row r="18" ht="14.25" customHeight="1">
      <c r="A18" s="13" t="s">
        <v>303</v>
      </c>
      <c r="B18" s="15">
        <f>'Data Extraction'!B107</f>
        <v>4666500</v>
      </c>
      <c r="C18" s="32">
        <f t="shared" si="1"/>
        <v>4.191178452</v>
      </c>
    </row>
    <row r="19" ht="14.25" customHeight="1">
      <c r="A19" s="13" t="s">
        <v>304</v>
      </c>
      <c r="B19" s="15">
        <f>'Data Extraction'!B108</f>
        <v>68948000</v>
      </c>
      <c r="C19" s="32">
        <f t="shared" si="1"/>
        <v>61.92507702</v>
      </c>
    </row>
    <row r="20" ht="14.25" customHeight="1">
      <c r="A20" s="13" t="s">
        <v>305</v>
      </c>
      <c r="B20" s="15">
        <f>'Data Extraction'!B109</f>
        <v>10500</v>
      </c>
      <c r="C20" s="32">
        <f t="shared" si="1"/>
        <v>0.00943048832</v>
      </c>
    </row>
    <row r="21" ht="14.25" customHeight="1">
      <c r="A21" s="13" t="s">
        <v>306</v>
      </c>
      <c r="B21" s="15">
        <f>'Data Extraction'!B110</f>
        <v>23000</v>
      </c>
      <c r="C21" s="32">
        <f t="shared" si="1"/>
        <v>0.02065726013</v>
      </c>
    </row>
    <row r="22" ht="14.25" customHeight="1">
      <c r="A22" s="13" t="s">
        <v>307</v>
      </c>
      <c r="B22" s="15">
        <f>'Data Extraction'!B111</f>
        <v>89598200</v>
      </c>
      <c r="C22" s="32">
        <f t="shared" si="1"/>
        <v>80.47188367</v>
      </c>
    </row>
    <row r="23" ht="14.25" customHeight="1">
      <c r="A23" s="13" t="s">
        <v>308</v>
      </c>
      <c r="B23" s="15">
        <f>'Data Extraction'!B112</f>
        <v>21741500</v>
      </c>
      <c r="C23" s="32">
        <f t="shared" si="1"/>
        <v>19.52694874</v>
      </c>
    </row>
    <row r="24" ht="14.25" customHeight="1">
      <c r="A24" s="13" t="s">
        <v>309</v>
      </c>
      <c r="B24" s="15">
        <f>'Data Extraction'!B113</f>
        <v>111341000</v>
      </c>
      <c r="C24" s="32">
        <f t="shared" si="1"/>
        <v>100</v>
      </c>
    </row>
    <row r="25" ht="14.25" customHeight="1"/>
    <row r="26" ht="14.25" customHeight="1"/>
    <row r="27" ht="14.25" customHeight="1"/>
    <row r="28" ht="14.25" customHeight="1">
      <c r="B28" s="2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3" width="24.0"/>
    <col customWidth="1" min="4" max="4" width="38.43"/>
    <col customWidth="1" min="5" max="26" width="8.71"/>
  </cols>
  <sheetData>
    <row r="1" ht="27.75" customHeight="1">
      <c r="A1" s="53" t="s">
        <v>310</v>
      </c>
      <c r="B1" s="54"/>
      <c r="C1" s="54"/>
      <c r="D1" s="55"/>
    </row>
    <row r="2" ht="14.25" customHeight="1"/>
    <row r="3" ht="14.25" customHeight="1">
      <c r="A3" s="56" t="s">
        <v>311</v>
      </c>
    </row>
    <row r="4" ht="14.25" customHeight="1"/>
    <row r="5" ht="14.25" customHeight="1">
      <c r="A5" s="12" t="s">
        <v>165</v>
      </c>
      <c r="B5" s="12" t="s">
        <v>312</v>
      </c>
      <c r="C5" s="12" t="s">
        <v>313</v>
      </c>
      <c r="D5" s="12" t="s">
        <v>314</v>
      </c>
    </row>
    <row r="6" ht="14.25" customHeight="1">
      <c r="A6" s="49" t="s">
        <v>315</v>
      </c>
      <c r="B6" s="57">
        <v>0.015</v>
      </c>
      <c r="C6" s="58">
        <v>2.0</v>
      </c>
      <c r="D6" s="58">
        <v>40.0</v>
      </c>
    </row>
    <row r="7" ht="14.25" customHeight="1">
      <c r="A7" s="49" t="s">
        <v>316</v>
      </c>
      <c r="B7" s="57">
        <v>0.02</v>
      </c>
      <c r="C7" s="58">
        <v>1.5</v>
      </c>
      <c r="D7" s="58">
        <v>42.0</v>
      </c>
    </row>
    <row r="8" ht="14.25" customHeight="1">
      <c r="A8" s="49" t="s">
        <v>317</v>
      </c>
      <c r="B8" s="57">
        <v>0.025</v>
      </c>
      <c r="C8" s="58">
        <v>3.0</v>
      </c>
      <c r="D8" s="58">
        <v>44.0</v>
      </c>
    </row>
    <row r="9" ht="14.25" customHeight="1">
      <c r="A9" s="49" t="s">
        <v>318</v>
      </c>
      <c r="B9" s="57">
        <v>-0.01</v>
      </c>
      <c r="C9" s="58">
        <v>1.0</v>
      </c>
      <c r="D9" s="58">
        <v>41.0</v>
      </c>
    </row>
    <row r="10" ht="14.25" customHeight="1">
      <c r="A10" s="49" t="s">
        <v>319</v>
      </c>
      <c r="B10" s="57">
        <v>0.03</v>
      </c>
      <c r="C10" s="58">
        <v>2.5</v>
      </c>
      <c r="D10" s="58">
        <v>46.0</v>
      </c>
    </row>
    <row r="11" ht="14.25" customHeight="1">
      <c r="A11" s="49" t="s">
        <v>23</v>
      </c>
      <c r="B11" s="57">
        <v>0.01</v>
      </c>
      <c r="C11" s="58">
        <v>4.0</v>
      </c>
      <c r="D11" s="58">
        <v>45.0</v>
      </c>
    </row>
    <row r="12" ht="14.25" customHeight="1">
      <c r="A12" s="49" t="s">
        <v>320</v>
      </c>
      <c r="B12" s="57">
        <v>0.02</v>
      </c>
      <c r="C12" s="58">
        <v>3.5</v>
      </c>
      <c r="D12" s="58">
        <v>50.0</v>
      </c>
    </row>
    <row r="13" ht="14.25" customHeight="1">
      <c r="A13" s="49" t="s">
        <v>321</v>
      </c>
      <c r="B13" s="57">
        <v>0.015</v>
      </c>
      <c r="C13" s="58">
        <v>0.5</v>
      </c>
      <c r="D13" s="58">
        <v>43.0</v>
      </c>
    </row>
    <row r="14" ht="14.25" customHeight="1"/>
    <row r="15" ht="14.25" customHeight="1">
      <c r="A15" s="56" t="s">
        <v>322</v>
      </c>
      <c r="B15" s="5" t="s">
        <v>23</v>
      </c>
      <c r="C15" s="17" t="s">
        <v>323</v>
      </c>
    </row>
    <row r="16" ht="14.25" customHeight="1"/>
    <row r="17" ht="14.25" customHeight="1">
      <c r="A17" s="56" t="s">
        <v>324</v>
      </c>
    </row>
    <row r="18" ht="14.25" customHeight="1">
      <c r="A18" s="31" t="s">
        <v>325</v>
      </c>
    </row>
    <row r="19" ht="14.25" customHeight="1">
      <c r="A19" s="12" t="s">
        <v>326</v>
      </c>
      <c r="B19" s="12" t="s">
        <v>172</v>
      </c>
    </row>
    <row r="20" ht="14.25" customHeight="1">
      <c r="A20" s="13" t="s">
        <v>327</v>
      </c>
      <c r="B20" s="15">
        <f>'Interest Rate Risk'!G9</f>
        <v>-102464545.2</v>
      </c>
    </row>
    <row r="21" ht="14.25" customHeight="1">
      <c r="A21" s="13" t="s">
        <v>328</v>
      </c>
      <c r="B21" s="57">
        <f>VLOOKUP($B$15, $A$6:$D$13, 2, FALSE)</f>
        <v>0.01</v>
      </c>
    </row>
    <row r="22" ht="14.25" customHeight="1">
      <c r="A22" s="13" t="s">
        <v>329</v>
      </c>
      <c r="B22" s="32">
        <f>B20*B21</f>
        <v>-1024645.452</v>
      </c>
    </row>
    <row r="23" ht="14.25" customHeight="1">
      <c r="A23" s="13" t="s">
        <v>330</v>
      </c>
      <c r="B23" s="15">
        <f>'Data Extraction'!B37</f>
        <v>4611646</v>
      </c>
    </row>
    <row r="24" ht="14.25" customHeight="1">
      <c r="A24" s="13" t="s">
        <v>331</v>
      </c>
      <c r="B24" s="32">
        <f>B23+B22</f>
        <v>3587000.548</v>
      </c>
    </row>
    <row r="25" ht="14.25" customHeight="1">
      <c r="A25" s="13" t="s">
        <v>332</v>
      </c>
      <c r="B25" s="32">
        <f>B22/B23*100</f>
        <v>-22.21864931</v>
      </c>
    </row>
    <row r="26" ht="14.25" customHeight="1"/>
    <row r="27" ht="14.25" customHeight="1">
      <c r="A27" s="56" t="s">
        <v>333</v>
      </c>
    </row>
    <row r="28" ht="14.25" customHeight="1">
      <c r="A28" s="31" t="s">
        <v>334</v>
      </c>
    </row>
    <row r="29" ht="14.25" customHeight="1">
      <c r="A29" s="12" t="s">
        <v>326</v>
      </c>
      <c r="B29" s="12" t="s">
        <v>172</v>
      </c>
    </row>
    <row r="30" ht="14.25" customHeight="1">
      <c r="A30" s="13" t="s">
        <v>335</v>
      </c>
      <c r="B30" s="15">
        <f>'Data Extraction'!B93</f>
        <v>0.19</v>
      </c>
    </row>
    <row r="31" ht="14.25" customHeight="1">
      <c r="A31" s="13" t="s">
        <v>336</v>
      </c>
      <c r="B31" s="58">
        <f>VLOOKUP($B$15, $A$6:$D$13, 3, FALSE)</f>
        <v>4</v>
      </c>
    </row>
    <row r="32" ht="14.25" customHeight="1">
      <c r="A32" s="13" t="s">
        <v>337</v>
      </c>
      <c r="B32" s="32">
        <f>B31+B30</f>
        <v>4.19</v>
      </c>
    </row>
    <row r="33" ht="14.25" customHeight="1">
      <c r="A33" s="13" t="s">
        <v>338</v>
      </c>
      <c r="B33" s="32">
        <f>'Data Extraction'!B5+'Data Extraction'!B7+'Data Extraction'!B12</f>
        <v>74249000</v>
      </c>
    </row>
    <row r="34" ht="14.25" customHeight="1">
      <c r="A34" s="13" t="s">
        <v>339</v>
      </c>
      <c r="B34" s="32">
        <f>B31/100*B33</f>
        <v>2969960</v>
      </c>
    </row>
    <row r="35" ht="14.25" customHeight="1">
      <c r="A35" s="13" t="s">
        <v>340</v>
      </c>
      <c r="B35" s="58">
        <v>45.0</v>
      </c>
    </row>
    <row r="36" ht="14.25" customHeight="1">
      <c r="A36" s="13" t="s">
        <v>341</v>
      </c>
      <c r="B36" s="32">
        <f>B34/100*B35</f>
        <v>1336482</v>
      </c>
    </row>
    <row r="37" ht="14.25" customHeight="1">
      <c r="A37" s="13" t="s">
        <v>342</v>
      </c>
      <c r="B37" s="15">
        <f>'Data Extraction'!B7</f>
        <v>636000</v>
      </c>
    </row>
    <row r="38" ht="14.25" customHeight="1">
      <c r="A38" s="13" t="s">
        <v>343</v>
      </c>
      <c r="B38" s="32">
        <f>B36+B37</f>
        <v>1972482</v>
      </c>
    </row>
    <row r="39" ht="14.25" customHeight="1"/>
    <row r="40" ht="14.25" customHeight="1">
      <c r="A40" s="56" t="s">
        <v>344</v>
      </c>
    </row>
    <row r="41" ht="14.25" customHeight="1">
      <c r="A41" s="31" t="s">
        <v>345</v>
      </c>
    </row>
    <row r="42" ht="14.25" customHeight="1">
      <c r="A42" s="31" t="s">
        <v>346</v>
      </c>
    </row>
    <row r="43" ht="14.25" customHeight="1">
      <c r="A43" s="12" t="s">
        <v>326</v>
      </c>
      <c r="B43" s="12" t="s">
        <v>172</v>
      </c>
    </row>
    <row r="44" ht="14.25" customHeight="1">
      <c r="A44" s="13" t="s">
        <v>347</v>
      </c>
      <c r="B44" s="15">
        <f>'Liquidity Risk'!B17</f>
        <v>151592000</v>
      </c>
    </row>
    <row r="45" ht="14.25" customHeight="1">
      <c r="A45" s="13" t="s">
        <v>348</v>
      </c>
      <c r="B45" s="58">
        <f>VLOOKUP($B$15, $A$6:$D$13, 4, FALSE)</f>
        <v>45</v>
      </c>
    </row>
    <row r="46" ht="14.25" customHeight="1">
      <c r="A46" s="13" t="s">
        <v>349</v>
      </c>
      <c r="B46" s="32">
        <f>B44*B45/100</f>
        <v>68216400</v>
      </c>
    </row>
    <row r="47" ht="14.25" customHeight="1">
      <c r="A47" s="13" t="s">
        <v>350</v>
      </c>
      <c r="B47" s="15">
        <f>'Liquidity Risk'!B40</f>
        <v>13231345.8</v>
      </c>
    </row>
    <row r="48" ht="14.25" customHeight="1">
      <c r="A48" s="13" t="s">
        <v>351</v>
      </c>
      <c r="B48" s="32">
        <f>B47-B46</f>
        <v>-54985054.2</v>
      </c>
    </row>
    <row r="49" ht="14.25" customHeight="1">
      <c r="A49" s="13" t="s">
        <v>352</v>
      </c>
      <c r="B49" s="32">
        <f>B44-B46</f>
        <v>83375600</v>
      </c>
    </row>
    <row r="50" ht="14.25" customHeight="1">
      <c r="A50" s="13" t="s">
        <v>353</v>
      </c>
      <c r="B50" s="50" t="s">
        <v>354</v>
      </c>
    </row>
    <row r="51" ht="14.25" customHeight="1"/>
    <row r="52" ht="14.25" customHeight="1">
      <c r="A52" s="56" t="s">
        <v>355</v>
      </c>
    </row>
    <row r="53" ht="14.25" customHeight="1">
      <c r="A53" s="31" t="s">
        <v>356</v>
      </c>
    </row>
    <row r="54" ht="14.25" customHeight="1">
      <c r="A54" s="31" t="s">
        <v>357</v>
      </c>
    </row>
    <row r="55" ht="14.25" customHeight="1">
      <c r="A55" s="31" t="s">
        <v>358</v>
      </c>
    </row>
    <row r="56" ht="14.25" customHeight="1">
      <c r="A56" s="31" t="s">
        <v>359</v>
      </c>
    </row>
    <row r="57" ht="14.25" customHeight="1">
      <c r="A57" s="12" t="s">
        <v>326</v>
      </c>
      <c r="B57" s="12" t="s">
        <v>172</v>
      </c>
    </row>
    <row r="58" ht="14.25" customHeight="1">
      <c r="A58" s="13" t="s">
        <v>360</v>
      </c>
      <c r="B58" s="15">
        <f>'Data Extraction'!B105</f>
        <v>16995000</v>
      </c>
    </row>
    <row r="59" ht="14.25" customHeight="1">
      <c r="A59" s="13" t="s">
        <v>361</v>
      </c>
      <c r="B59" s="15">
        <f>B36</f>
        <v>1336482</v>
      </c>
    </row>
    <row r="60" ht="14.25" customHeight="1">
      <c r="A60" s="13" t="s">
        <v>362</v>
      </c>
      <c r="B60" s="15">
        <f>ABS(B48)</f>
        <v>54985054.2</v>
      </c>
      <c r="C60" s="17" t="s">
        <v>363</v>
      </c>
    </row>
    <row r="61" ht="14.25" customHeight="1">
      <c r="A61" s="13" t="s">
        <v>364</v>
      </c>
      <c r="B61" s="15">
        <f>'Liquidity Risk'!B37</f>
        <v>25981931.8</v>
      </c>
    </row>
    <row r="62" ht="14.25" customHeight="1">
      <c r="A62" s="13" t="s">
        <v>365</v>
      </c>
      <c r="B62" s="32">
        <f>MIN(B60,B61)</f>
        <v>25981931.8</v>
      </c>
    </row>
    <row r="63" ht="14.25" customHeight="1">
      <c r="A63" s="13" t="s">
        <v>366</v>
      </c>
      <c r="B63" s="15">
        <f>'Interest Rate Risk'!B40</f>
        <v>-2525457</v>
      </c>
    </row>
    <row r="64" ht="14.25" customHeight="1">
      <c r="A64" s="13" t="s">
        <v>367</v>
      </c>
      <c r="B64" s="32">
        <f>ABS(B63)*(B62/B61)</f>
        <v>2525457</v>
      </c>
      <c r="C64" s="17" t="s">
        <v>363</v>
      </c>
    </row>
    <row r="65" ht="14.25" customHeight="1">
      <c r="A65" s="13" t="s">
        <v>368</v>
      </c>
      <c r="B65" s="32">
        <f>B60-B62</f>
        <v>29003122.4</v>
      </c>
      <c r="C65" s="17" t="s">
        <v>363</v>
      </c>
    </row>
    <row r="66" ht="14.25" customHeight="1">
      <c r="A66" s="13" t="s">
        <v>369</v>
      </c>
      <c r="B66" s="15">
        <f>'Liquidity Risk'!B38</f>
        <v>76169074.4</v>
      </c>
    </row>
    <row r="67" ht="14.25" customHeight="1">
      <c r="A67" s="13" t="s">
        <v>370</v>
      </c>
      <c r="B67" s="32">
        <f>MIN(B66, B65)</f>
        <v>29003122.4</v>
      </c>
    </row>
    <row r="68" ht="14.25" customHeight="1">
      <c r="A68" s="13" t="s">
        <v>371</v>
      </c>
      <c r="B68" s="15">
        <f>'Interest Rate Risk'!B41</f>
        <v>-15159540</v>
      </c>
    </row>
    <row r="69" ht="14.25" customHeight="1">
      <c r="A69" s="13" t="s">
        <v>372</v>
      </c>
      <c r="B69" s="32">
        <f>ABS(B68)*B67/B66</f>
        <v>5772342.616</v>
      </c>
      <c r="C69" s="17" t="s">
        <v>363</v>
      </c>
    </row>
    <row r="70" ht="14.25" customHeight="1">
      <c r="A70" s="13" t="s">
        <v>373</v>
      </c>
      <c r="B70" s="32">
        <f>B64+B69</f>
        <v>8297799.616</v>
      </c>
    </row>
    <row r="71" ht="14.25" customHeight="1">
      <c r="A71" s="13" t="s">
        <v>374</v>
      </c>
      <c r="B71" s="32">
        <f>B58-B59-B70</f>
        <v>7360718.384</v>
      </c>
    </row>
    <row r="72" ht="14.25" customHeight="1">
      <c r="A72" s="13" t="s">
        <v>375</v>
      </c>
      <c r="B72" s="15">
        <f>'Data Extraction'!B113</f>
        <v>111341000</v>
      </c>
    </row>
    <row r="73" ht="14.25" customHeight="1">
      <c r="A73" s="13" t="s">
        <v>376</v>
      </c>
      <c r="B73" s="59">
        <f>B71/B72*100</f>
        <v>6.610968452</v>
      </c>
    </row>
    <row r="74" ht="14.25" customHeight="1">
      <c r="A74" s="13" t="s">
        <v>377</v>
      </c>
      <c r="B74" s="59">
        <f>B71/'Data Extraction'!B13*100</f>
        <v>3.521436752</v>
      </c>
    </row>
    <row r="75" ht="14.25" customHeight="1">
      <c r="A75" s="13" t="s">
        <v>378</v>
      </c>
      <c r="B75" s="50" t="s">
        <v>379</v>
      </c>
      <c r="C75" s="17" t="s">
        <v>296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28.14"/>
    <col customWidth="1" min="3" max="4" width="20.0"/>
    <col customWidth="1" min="5" max="26" width="8.71"/>
  </cols>
  <sheetData>
    <row r="1" ht="27.75" customHeight="1">
      <c r="A1" s="60" t="s">
        <v>380</v>
      </c>
      <c r="B1" s="7"/>
      <c r="C1" s="7"/>
      <c r="D1" s="8"/>
    </row>
    <row r="2" ht="14.25" customHeight="1"/>
    <row r="3" ht="14.25" customHeight="1">
      <c r="A3" s="31" t="s">
        <v>381</v>
      </c>
    </row>
    <row r="4" ht="14.25" customHeight="1"/>
    <row r="5" ht="14.25" customHeight="1">
      <c r="A5" s="4" t="s">
        <v>382</v>
      </c>
      <c r="B5" s="5" t="s">
        <v>25</v>
      </c>
    </row>
    <row r="6" ht="14.25" customHeight="1"/>
    <row r="7" ht="14.25" customHeight="1">
      <c r="A7" s="61" t="s">
        <v>383</v>
      </c>
    </row>
    <row r="8" ht="14.25" customHeight="1"/>
    <row r="9" ht="14.25" customHeight="1">
      <c r="A9" s="12" t="s">
        <v>250</v>
      </c>
      <c r="B9" s="12" t="s">
        <v>64</v>
      </c>
      <c r="C9" s="12" t="s">
        <v>384</v>
      </c>
      <c r="D9" s="12" t="s">
        <v>385</v>
      </c>
    </row>
    <row r="10" ht="14.25" customHeight="1">
      <c r="A10" s="13" t="s">
        <v>73</v>
      </c>
      <c r="B10" s="15">
        <f>'Data Extraction'!B43</f>
        <v>2.2</v>
      </c>
      <c r="C10" s="62">
        <v>1.0</v>
      </c>
      <c r="D10" s="63">
        <f t="shared" ref="D10:D17" si="1">B10-C10</f>
        <v>1.2</v>
      </c>
    </row>
    <row r="11" ht="14.25" customHeight="1">
      <c r="A11" s="13" t="s">
        <v>125</v>
      </c>
      <c r="B11" s="15">
        <f>'Data Extraction'!B93</f>
        <v>0.19</v>
      </c>
      <c r="C11" s="5">
        <v>0.17</v>
      </c>
      <c r="D11" s="63">
        <f t="shared" si="1"/>
        <v>0.02</v>
      </c>
    </row>
    <row r="12" ht="14.25" customHeight="1">
      <c r="A12" s="13" t="s">
        <v>386</v>
      </c>
      <c r="B12" s="15">
        <f>'Data Extraction'!B69</f>
        <v>41.97</v>
      </c>
      <c r="C12" s="5">
        <v>11.15</v>
      </c>
      <c r="D12" s="63">
        <f t="shared" si="1"/>
        <v>30.82</v>
      </c>
    </row>
    <row r="13" ht="14.25" customHeight="1">
      <c r="A13" s="13" t="s">
        <v>109</v>
      </c>
      <c r="B13" s="15">
        <f>'Data Extraction'!B76</f>
        <v>74.99</v>
      </c>
      <c r="C13" s="64">
        <v>56.63</v>
      </c>
      <c r="D13" s="63">
        <f t="shared" si="1"/>
        <v>18.36</v>
      </c>
    </row>
    <row r="14" ht="14.25" customHeight="1">
      <c r="A14" s="13" t="s">
        <v>387</v>
      </c>
      <c r="B14" s="15">
        <f>'Data Extraction'!B55</f>
        <v>51.92</v>
      </c>
      <c r="C14" s="64">
        <v>19.87</v>
      </c>
      <c r="D14" s="63">
        <f t="shared" si="1"/>
        <v>32.05</v>
      </c>
    </row>
    <row r="15" ht="14.25" customHeight="1">
      <c r="A15" s="13" t="s">
        <v>388</v>
      </c>
      <c r="B15" s="15">
        <f>'Data Extraction'!B64</f>
        <v>-104.06</v>
      </c>
      <c r="C15" s="64">
        <v>-60.65</v>
      </c>
      <c r="D15" s="63">
        <f t="shared" si="1"/>
        <v>-43.41</v>
      </c>
    </row>
    <row r="16" ht="14.25" customHeight="1">
      <c r="A16" s="13" t="s">
        <v>132</v>
      </c>
      <c r="B16" s="15">
        <f>'Data Extraction'!B101</f>
        <v>15.2639</v>
      </c>
      <c r="C16" s="64">
        <v>16.3161</v>
      </c>
      <c r="D16" s="63">
        <f t="shared" si="1"/>
        <v>-1.0522</v>
      </c>
    </row>
    <row r="17" ht="14.25" customHeight="1">
      <c r="A17" s="13" t="s">
        <v>131</v>
      </c>
      <c r="B17" s="15">
        <f>'Data Extraction'!B100</f>
        <v>7.9626</v>
      </c>
      <c r="C17" s="64">
        <v>6.2455</v>
      </c>
      <c r="D17" s="63">
        <f t="shared" si="1"/>
        <v>1.7171</v>
      </c>
    </row>
    <row r="18" ht="14.25" customHeight="1"/>
    <row r="19" ht="14.25" customHeight="1"/>
    <row r="20" ht="14.25" customHeight="1">
      <c r="A20" s="65" t="s">
        <v>389</v>
      </c>
    </row>
    <row r="21" ht="14.25" customHeight="1">
      <c r="A21" s="66" t="s">
        <v>390</v>
      </c>
    </row>
    <row r="22" ht="14.25" customHeight="1">
      <c r="A22" s="66" t="s">
        <v>391</v>
      </c>
    </row>
    <row r="23" ht="14.25" customHeight="1">
      <c r="A23" s="66" t="s">
        <v>392</v>
      </c>
    </row>
    <row r="24" ht="14.25" customHeight="1">
      <c r="A24" s="66" t="s">
        <v>393</v>
      </c>
    </row>
    <row r="25" ht="14.25" customHeight="1">
      <c r="A25" s="66" t="s">
        <v>394</v>
      </c>
    </row>
    <row r="26" ht="14.25" customHeight="1">
      <c r="A26" s="66" t="s">
        <v>395</v>
      </c>
    </row>
    <row r="27" ht="14.25" customHeight="1">
      <c r="A27" s="66" t="s">
        <v>396</v>
      </c>
    </row>
    <row r="28" ht="14.25" customHeight="1">
      <c r="A28" s="66" t="s">
        <v>397</v>
      </c>
    </row>
    <row r="29" ht="14.25" customHeight="1">
      <c r="A29" s="66" t="s">
        <v>398</v>
      </c>
    </row>
    <row r="30" ht="14.25" customHeight="1">
      <c r="A30" s="66" t="s">
        <v>399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2026-04-15T17:49:43Z</dcterms:created>
  <dc:creator>openpyxl</dc:creator>
</cp:coreProperties>
</file>